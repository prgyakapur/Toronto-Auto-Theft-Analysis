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gyakapur/Desktop/"/>
    </mc:Choice>
  </mc:AlternateContent>
  <xr:revisionPtr revIDLastSave="0" documentId="8_{19BBB99E-1E3E-C74C-915B-338470FB9AF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itywide Trends" sheetId="2" r:id="rId1"/>
    <sheet name="Cleaned Dataset" sheetId="1" r:id="rId2"/>
  </sheets>
  <definedNames>
    <definedName name="_xlnm._FilterDatabase" localSheetId="1" hidden="1">'Cleaned Dataset'!$A$1:$N$159</definedName>
    <definedName name="_xlchart.v1.3" hidden="1">'Citywide Trends'!$A$92:$A$101</definedName>
    <definedName name="_xlchart.v1.4" hidden="1">'Citywide Trends'!$N$91</definedName>
    <definedName name="_xlchart.v1.5" hidden="1">'Citywide Trends'!$N$92:$N$101</definedName>
    <definedName name="_xlchart.v2.0" hidden="1">'Citywide Trends'!$A$92:$A$101</definedName>
    <definedName name="_xlchart.v2.1" hidden="1">'Citywide Trends'!$N$91</definedName>
    <definedName name="_xlchart.v2.2" hidden="1">'Citywide Trends'!$N$92:$N$101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3" i="2" l="1"/>
  <c r="N94" i="2"/>
  <c r="N95" i="2"/>
  <c r="N96" i="2"/>
  <c r="N97" i="2"/>
  <c r="N98" i="2"/>
  <c r="N99" i="2"/>
  <c r="N100" i="2"/>
  <c r="N101" i="2"/>
  <c r="N92" i="2"/>
  <c r="P2" i="1"/>
  <c r="P59" i="1"/>
  <c r="P55" i="1"/>
  <c r="P80" i="1"/>
  <c r="P144" i="1"/>
  <c r="P21" i="1"/>
  <c r="P33" i="1"/>
  <c r="P156" i="1"/>
  <c r="P90" i="1"/>
  <c r="P143" i="1"/>
  <c r="P11" i="1"/>
  <c r="P136" i="1"/>
  <c r="P68" i="1"/>
  <c r="P14" i="1"/>
  <c r="P77" i="1"/>
  <c r="P78" i="1"/>
  <c r="P159" i="1"/>
  <c r="P119" i="1"/>
  <c r="P132" i="1"/>
  <c r="P113" i="1"/>
  <c r="P107" i="1"/>
  <c r="P152" i="1"/>
  <c r="P93" i="1"/>
  <c r="P102" i="1"/>
  <c r="P99" i="1"/>
  <c r="P75" i="1"/>
  <c r="P15" i="1"/>
  <c r="P37" i="1"/>
  <c r="P16" i="1"/>
  <c r="P124" i="1"/>
  <c r="P109" i="1"/>
  <c r="P122" i="1"/>
  <c r="P27" i="1"/>
  <c r="P31" i="1"/>
  <c r="P49" i="1"/>
  <c r="P61" i="1"/>
  <c r="P116" i="1"/>
  <c r="P142" i="1"/>
  <c r="P36" i="1"/>
  <c r="P73" i="1"/>
  <c r="P56" i="1"/>
  <c r="P96" i="1"/>
  <c r="P34" i="1"/>
  <c r="P43" i="1"/>
  <c r="P66" i="1"/>
  <c r="P32" i="1"/>
  <c r="P3" i="1"/>
  <c r="P44" i="1"/>
  <c r="P45" i="1"/>
  <c r="P103" i="1"/>
  <c r="P137" i="1"/>
  <c r="P117" i="1"/>
  <c r="P94" i="1"/>
  <c r="P12" i="1"/>
  <c r="P24" i="1"/>
  <c r="P30" i="1"/>
  <c r="P126" i="1"/>
  <c r="P82" i="1"/>
  <c r="P57" i="1"/>
  <c r="P125" i="1"/>
  <c r="P133" i="1"/>
  <c r="P74" i="1"/>
  <c r="P104" i="1"/>
  <c r="P62" i="1"/>
  <c r="P108" i="1"/>
  <c r="P5" i="1"/>
  <c r="P40" i="1"/>
  <c r="P128" i="1"/>
  <c r="P138" i="1"/>
  <c r="P13" i="1"/>
  <c r="P71" i="1"/>
  <c r="P52" i="1"/>
  <c r="P106" i="1"/>
  <c r="P92" i="1"/>
  <c r="P70" i="1"/>
  <c r="P35" i="1"/>
  <c r="P135" i="1"/>
  <c r="P72" i="1"/>
  <c r="P158" i="1"/>
  <c r="P84" i="1"/>
  <c r="P87" i="1"/>
  <c r="P60" i="1"/>
  <c r="P48" i="1"/>
  <c r="P123" i="1"/>
  <c r="P118" i="1"/>
  <c r="P28" i="1"/>
  <c r="P17" i="1"/>
  <c r="P95" i="1"/>
  <c r="P89" i="1"/>
  <c r="P20" i="1"/>
  <c r="P51" i="1"/>
  <c r="P86" i="1"/>
  <c r="P4" i="1"/>
  <c r="P91" i="1"/>
  <c r="P81" i="1"/>
  <c r="P39" i="1"/>
  <c r="P63" i="1"/>
  <c r="P112" i="1"/>
  <c r="P46" i="1"/>
  <c r="P26" i="1"/>
  <c r="P127" i="1"/>
  <c r="P150" i="1"/>
  <c r="P157" i="1"/>
  <c r="P42" i="1"/>
  <c r="P9" i="1"/>
  <c r="P141" i="1"/>
  <c r="P79" i="1"/>
  <c r="P88" i="1"/>
  <c r="P153" i="1"/>
  <c r="P50" i="1"/>
  <c r="P65" i="1"/>
  <c r="P131" i="1"/>
  <c r="P98" i="1"/>
  <c r="P114" i="1"/>
  <c r="P148" i="1"/>
  <c r="P100" i="1"/>
  <c r="P25" i="1"/>
  <c r="P145" i="1"/>
  <c r="P38" i="1"/>
  <c r="P139" i="1"/>
  <c r="P101" i="1"/>
  <c r="P29" i="1"/>
  <c r="P151" i="1"/>
  <c r="P110" i="1"/>
  <c r="P22" i="1"/>
  <c r="P121" i="1"/>
  <c r="P23" i="1"/>
  <c r="P83" i="1"/>
  <c r="P53" i="1"/>
  <c r="P54" i="1"/>
  <c r="P147" i="1"/>
  <c r="P97" i="1"/>
  <c r="P85" i="1"/>
  <c r="P69" i="1"/>
  <c r="P115" i="1"/>
  <c r="P154" i="1"/>
  <c r="P19" i="1"/>
  <c r="P76" i="1"/>
  <c r="P41" i="1"/>
  <c r="P155" i="1"/>
  <c r="P67" i="1"/>
  <c r="P47" i="1"/>
  <c r="P10" i="1"/>
  <c r="P140" i="1"/>
  <c r="P18" i="1"/>
  <c r="P129" i="1"/>
  <c r="P64" i="1"/>
  <c r="P58" i="1"/>
  <c r="P111" i="1"/>
  <c r="P149" i="1"/>
  <c r="P134" i="1"/>
  <c r="P120" i="1"/>
  <c r="P130" i="1"/>
  <c r="P105" i="1"/>
  <c r="P146" i="1"/>
  <c r="P7" i="1"/>
  <c r="P6" i="1"/>
  <c r="P8" i="1"/>
  <c r="M57" i="2"/>
  <c r="M58" i="2"/>
  <c r="M59" i="2"/>
  <c r="M60" i="2"/>
  <c r="M61" i="2"/>
  <c r="M62" i="2"/>
  <c r="M63" i="2"/>
  <c r="M64" i="2"/>
  <c r="M65" i="2"/>
  <c r="M56" i="2"/>
  <c r="N73" i="1"/>
  <c r="N146" i="1"/>
  <c r="N17" i="1"/>
  <c r="N126" i="1"/>
  <c r="N151" i="1"/>
  <c r="N8" i="1"/>
  <c r="N113" i="1"/>
  <c r="N43" i="1"/>
  <c r="N38" i="1"/>
  <c r="N97" i="1"/>
  <c r="N88" i="1"/>
  <c r="N63" i="1"/>
  <c r="N122" i="1"/>
  <c r="N132" i="1"/>
  <c r="N134" i="1"/>
  <c r="N48" i="1"/>
  <c r="N103" i="1"/>
  <c r="N95" i="1"/>
  <c r="N55" i="1"/>
  <c r="N102" i="1"/>
  <c r="N77" i="1"/>
  <c r="N110" i="1"/>
  <c r="N117" i="1"/>
  <c r="N80" i="1"/>
  <c r="N72" i="1"/>
  <c r="N89" i="1"/>
  <c r="N105" i="1"/>
  <c r="N138" i="1"/>
  <c r="N149" i="1"/>
  <c r="N21" i="1"/>
  <c r="N20" i="1"/>
  <c r="N23" i="1"/>
  <c r="N22" i="1"/>
  <c r="N62" i="1"/>
  <c r="N130" i="1"/>
  <c r="N28" i="1"/>
  <c r="N19" i="1"/>
  <c r="N69" i="1"/>
  <c r="N4" i="1"/>
  <c r="N41" i="1"/>
  <c r="N45" i="1"/>
  <c r="N3" i="1"/>
  <c r="N44" i="1"/>
  <c r="N50" i="1"/>
  <c r="N112" i="1"/>
  <c r="N101" i="1"/>
  <c r="N16" i="1"/>
  <c r="N93" i="1"/>
  <c r="N104" i="1"/>
  <c r="N49" i="1"/>
  <c r="N46" i="1"/>
  <c r="N34" i="1"/>
  <c r="N14" i="1"/>
  <c r="N85" i="1"/>
  <c r="N99" i="1"/>
  <c r="N111" i="1"/>
  <c r="N131" i="1"/>
  <c r="N32" i="1"/>
  <c r="N98" i="1"/>
  <c r="N68" i="1"/>
  <c r="N60" i="1"/>
  <c r="N15" i="1"/>
  <c r="N58" i="1"/>
  <c r="N118" i="1"/>
  <c r="N29" i="1"/>
  <c r="N136" i="1"/>
  <c r="N125" i="1"/>
  <c r="N54" i="1"/>
  <c r="N100" i="1"/>
  <c r="N120" i="1"/>
  <c r="N13" i="1"/>
  <c r="N40" i="1"/>
  <c r="N18" i="1"/>
  <c r="N76" i="1"/>
  <c r="N84" i="1"/>
  <c r="N57" i="1"/>
  <c r="N128" i="1"/>
  <c r="N129" i="1"/>
  <c r="N24" i="1"/>
  <c r="N30" i="1"/>
  <c r="N71" i="1"/>
  <c r="N51" i="1"/>
  <c r="N67" i="1"/>
  <c r="N27" i="1"/>
  <c r="N79" i="1"/>
  <c r="N86" i="1"/>
  <c r="N59" i="1"/>
  <c r="N90" i="1"/>
  <c r="N11" i="1"/>
  <c r="N119" i="1"/>
  <c r="N42" i="1"/>
  <c r="N56" i="1"/>
  <c r="N74" i="1"/>
  <c r="N127" i="1"/>
  <c r="N12" i="1"/>
  <c r="N26" i="1"/>
  <c r="N65" i="1"/>
  <c r="N115" i="1"/>
  <c r="N31" i="1"/>
  <c r="N61" i="1"/>
  <c r="N36" i="1"/>
  <c r="N94" i="1"/>
  <c r="N124" i="1"/>
  <c r="N109" i="1"/>
  <c r="N83" i="1"/>
  <c r="N52" i="1"/>
  <c r="N133" i="1"/>
  <c r="N142" i="1"/>
  <c r="N53" i="1"/>
  <c r="N114" i="1"/>
  <c r="N2" i="1"/>
  <c r="N7" i="1"/>
  <c r="N47" i="1"/>
  <c r="N123" i="1"/>
  <c r="N82" i="1"/>
  <c r="N75" i="1"/>
  <c r="N144" i="1"/>
  <c r="N92" i="1"/>
  <c r="N96" i="1"/>
  <c r="N64" i="1"/>
  <c r="N152" i="1"/>
  <c r="N116" i="1"/>
  <c r="N121" i="1"/>
  <c r="N87" i="1"/>
  <c r="N5" i="1"/>
  <c r="N6" i="1"/>
  <c r="N9" i="1"/>
  <c r="N135" i="1"/>
  <c r="N10" i="1"/>
  <c r="N37" i="1"/>
  <c r="N139" i="1"/>
  <c r="N148" i="1"/>
  <c r="N91" i="1"/>
  <c r="N33" i="1"/>
  <c r="N78" i="1"/>
  <c r="N107" i="1"/>
  <c r="N81" i="1"/>
  <c r="N137" i="1"/>
  <c r="N156" i="1"/>
  <c r="N39" i="1"/>
  <c r="N35" i="1"/>
  <c r="N157" i="1"/>
  <c r="N106" i="1"/>
  <c r="N143" i="1"/>
  <c r="N145" i="1"/>
  <c r="N159" i="1"/>
  <c r="N141" i="1"/>
  <c r="N25" i="1"/>
  <c r="N108" i="1"/>
  <c r="N155" i="1"/>
  <c r="N154" i="1"/>
  <c r="N158" i="1"/>
  <c r="N147" i="1"/>
  <c r="N66" i="1"/>
  <c r="N140" i="1"/>
  <c r="N153" i="1"/>
  <c r="N70" i="1"/>
  <c r="N150" i="1"/>
  <c r="M22" i="2"/>
  <c r="M23" i="2"/>
  <c r="M24" i="2"/>
  <c r="M25" i="2"/>
  <c r="M26" i="2"/>
  <c r="M27" i="2"/>
  <c r="M28" i="2"/>
  <c r="M29" i="2"/>
  <c r="M30" i="2"/>
  <c r="M21" i="2"/>
  <c r="B2" i="2"/>
  <c r="B10" i="2"/>
  <c r="B11" i="2"/>
  <c r="B12" i="2"/>
  <c r="B3" i="2"/>
  <c r="B4" i="2"/>
  <c r="B5" i="2"/>
  <c r="B6" i="2"/>
  <c r="B7" i="2"/>
  <c r="B8" i="2"/>
  <c r="B9" i="2" l="1"/>
</calcChain>
</file>

<file path=xl/sharedStrings.xml><?xml version="1.0" encoding="utf-8"?>
<sst xmlns="http://schemas.openxmlformats.org/spreadsheetml/2006/main" count="216" uniqueCount="180">
  <si>
    <t>AREA_NAME</t>
  </si>
  <si>
    <t>AUTOTHEFT_2014</t>
  </si>
  <si>
    <t>AUTOTHEFT_2015</t>
  </si>
  <si>
    <t>AUTOTHEFT_2016</t>
  </si>
  <si>
    <t>AUTOTHEFT_2017</t>
  </si>
  <si>
    <t>AUTOTHEFT_2018</t>
  </si>
  <si>
    <t>AUTOTHEFT_2019</t>
  </si>
  <si>
    <t>AUTOTHEFT_2020</t>
  </si>
  <si>
    <t>AUTOTHEFT_2021</t>
  </si>
  <si>
    <t>AUTOTHEFT_2022</t>
  </si>
  <si>
    <t>AUTOTHEFT_2023</t>
  </si>
  <si>
    <t>AUTOTHEFT_2024</t>
  </si>
  <si>
    <t>TOTAL_AUTOTHEFTS</t>
  </si>
  <si>
    <t>PCT_CHANGE_2014_2024</t>
  </si>
  <si>
    <t>South Eglinton-Davisville</t>
  </si>
  <si>
    <t>North Toronto</t>
  </si>
  <si>
    <t>Dovercourt Village</t>
  </si>
  <si>
    <t>Junction-Wallace Emerson</t>
  </si>
  <si>
    <t>Yonge-Bay Corridor</t>
  </si>
  <si>
    <t>Bay-Cloverhill</t>
  </si>
  <si>
    <t>Bendale-Glen Andrew</t>
  </si>
  <si>
    <t>Downsview</t>
  </si>
  <si>
    <t>Oakdale-Beverley Heights</t>
  </si>
  <si>
    <t>Avondale</t>
  </si>
  <si>
    <t>East Willowdale</t>
  </si>
  <si>
    <t>Yonge-Doris</t>
  </si>
  <si>
    <t>Fenside-Parkwoods</t>
  </si>
  <si>
    <t>Parkwoods-O'Connor Hills</t>
  </si>
  <si>
    <t>East L'Amoreaux</t>
  </si>
  <si>
    <t>L'Amoreaux West</t>
  </si>
  <si>
    <t>Malvern East</t>
  </si>
  <si>
    <t>Malvern West</t>
  </si>
  <si>
    <t>Morningside Heights</t>
  </si>
  <si>
    <t>West Rouge</t>
  </si>
  <si>
    <t>Woburn North</t>
  </si>
  <si>
    <t>Golfdale-Cedarbrae-Woburn</t>
  </si>
  <si>
    <t>Guildwood</t>
  </si>
  <si>
    <t>Scarborough Village</t>
  </si>
  <si>
    <t>Eglinton East</t>
  </si>
  <si>
    <t>West Hill</t>
  </si>
  <si>
    <t>Morningside</t>
  </si>
  <si>
    <t>Highland Creek</t>
  </si>
  <si>
    <t>Centennial Scarborough</t>
  </si>
  <si>
    <t>Milliken</t>
  </si>
  <si>
    <t>Agincourt North</t>
  </si>
  <si>
    <t>Agincourt South-Malvern West</t>
  </si>
  <si>
    <t>Dorset Park</t>
  </si>
  <si>
    <t>Ionview</t>
  </si>
  <si>
    <t>Kennedy Park</t>
  </si>
  <si>
    <t>Cliffcrest</t>
  </si>
  <si>
    <t>Birchcliffe-Cliffside</t>
  </si>
  <si>
    <t>Downtown Yonge East</t>
  </si>
  <si>
    <t>Church-Wellesley</t>
  </si>
  <si>
    <t>St Lawrence-East Bayfront-The Islands</t>
  </si>
  <si>
    <t>Harbourfront-CityPlace</t>
  </si>
  <si>
    <t>Wellington Place</t>
  </si>
  <si>
    <t>Fort York-Liberty Village</t>
  </si>
  <si>
    <t>West Queen West</t>
  </si>
  <si>
    <t>Humber Bay Shores</t>
  </si>
  <si>
    <t>Mimico-Queensway</t>
  </si>
  <si>
    <t>Etobicoke City Centre</t>
  </si>
  <si>
    <t>Islington</t>
  </si>
  <si>
    <t>Bendale South</t>
  </si>
  <si>
    <t>Caledonia-Fairbank</t>
  </si>
  <si>
    <t>Briar Hill-Belgravia</t>
  </si>
  <si>
    <t>Oakwood Village</t>
  </si>
  <si>
    <t>Humewood-Cedarvale</t>
  </si>
  <si>
    <t>Lawrence Park North</t>
  </si>
  <si>
    <t>Lawrence Park South</t>
  </si>
  <si>
    <t>Forest Hill North</t>
  </si>
  <si>
    <t>Forest Hill South</t>
  </si>
  <si>
    <t>Yonge-Eglinton</t>
  </si>
  <si>
    <t>Mount Pleasant East</t>
  </si>
  <si>
    <t>Rosedale-Moore Park</t>
  </si>
  <si>
    <t>Yonge-St.Clair</t>
  </si>
  <si>
    <t>Casa Loma</t>
  </si>
  <si>
    <t>Annex</t>
  </si>
  <si>
    <t>Wychwood</t>
  </si>
  <si>
    <t>Corso Italia-Davenport</t>
  </si>
  <si>
    <t>Weston-Pelham Park</t>
  </si>
  <si>
    <t>Junction Area</t>
  </si>
  <si>
    <t>Oakridge</t>
  </si>
  <si>
    <t>Clairlea-Birchmount</t>
  </si>
  <si>
    <t>Wexford/Maryvale</t>
  </si>
  <si>
    <t>Tam O'Shanter-Sullivan</t>
  </si>
  <si>
    <t>Steeles</t>
  </si>
  <si>
    <t>Mount Dennis</t>
  </si>
  <si>
    <t>Lambton Baby Point</t>
  </si>
  <si>
    <t>Weston</t>
  </si>
  <si>
    <t>Beechborough-Greenbrook</t>
  </si>
  <si>
    <t>Rockcliffe-Smythe</t>
  </si>
  <si>
    <t>Keelesdale-Eglinton West</t>
  </si>
  <si>
    <t>Palmerston-Little Italy</t>
  </si>
  <si>
    <t>University</t>
  </si>
  <si>
    <t>Kensington-Chinatown</t>
  </si>
  <si>
    <t>North St.James Town</t>
  </si>
  <si>
    <t>Moss Park</t>
  </si>
  <si>
    <t>Regent Park</t>
  </si>
  <si>
    <t>Cabbagetown-South St.James Town</t>
  </si>
  <si>
    <t>South Riverdale</t>
  </si>
  <si>
    <t>Blake-Jones</t>
  </si>
  <si>
    <t>North Riverdale</t>
  </si>
  <si>
    <t>Playter Estates-Danforth</t>
  </si>
  <si>
    <t>Danforth</t>
  </si>
  <si>
    <t>Greenwood-Coxwell</t>
  </si>
  <si>
    <t>Woodbine Corridor</t>
  </si>
  <si>
    <t>The Beaches</t>
  </si>
  <si>
    <t>East End-Danforth</t>
  </si>
  <si>
    <t>Taylor-Massey</t>
  </si>
  <si>
    <t>Woodbine-Lumsden</t>
  </si>
  <si>
    <t>Danforth East York</t>
  </si>
  <si>
    <t>Old East York</t>
  </si>
  <si>
    <t>Runnymede-Bloor West Village</t>
  </si>
  <si>
    <t>High Park North</t>
  </si>
  <si>
    <t>High Park-Swansea</t>
  </si>
  <si>
    <t>Roncesvalles</t>
  </si>
  <si>
    <t>South Parkdale</t>
  </si>
  <si>
    <t>Little Portugal</t>
  </si>
  <si>
    <t>Dufferin Grove</t>
  </si>
  <si>
    <t>Trinity-Bellwoods</t>
  </si>
  <si>
    <t>Don Valley Village</t>
  </si>
  <si>
    <t>Pleasant View</t>
  </si>
  <si>
    <t>Flemingdon Park</t>
  </si>
  <si>
    <t>Victoria Village</t>
  </si>
  <si>
    <t>Banbury-Don Mills</t>
  </si>
  <si>
    <t>Bridle Path-Sunnybrook-York Mills</t>
  </si>
  <si>
    <t>St.Andrew-Windfields</t>
  </si>
  <si>
    <t>Bedford Park-Nortown</t>
  </si>
  <si>
    <t>Lansing-Westgate</t>
  </si>
  <si>
    <t>Willowdale West</t>
  </si>
  <si>
    <t>Newtonbrook West</t>
  </si>
  <si>
    <t>Westminster-Branson</t>
  </si>
  <si>
    <t>Bathurst Manor</t>
  </si>
  <si>
    <t>Clanton Park</t>
  </si>
  <si>
    <t>Englemount-Lawrence</t>
  </si>
  <si>
    <t>Yorkdale-Glen Park</t>
  </si>
  <si>
    <t>Brookhaven-Amesbury</t>
  </si>
  <si>
    <t>Maple Leaf</t>
  </si>
  <si>
    <t>Rustic</t>
  </si>
  <si>
    <t>York University Heights</t>
  </si>
  <si>
    <t>Glenfield-Jane Heights</t>
  </si>
  <si>
    <t>Broadview North</t>
  </si>
  <si>
    <t>Leaside-Bennington</t>
  </si>
  <si>
    <t>Thorncliffe Park</t>
  </si>
  <si>
    <t>O'Connor-Parkview</t>
  </si>
  <si>
    <t>Henry Farm</t>
  </si>
  <si>
    <t>Bayview Village</t>
  </si>
  <si>
    <t>Newtonbrook East</t>
  </si>
  <si>
    <t>Bayview Woods-Steeles</t>
  </si>
  <si>
    <t>Hillcrest Village</t>
  </si>
  <si>
    <t>Alderwood</t>
  </si>
  <si>
    <t>Long Branch</t>
  </si>
  <si>
    <t>New Toronto</t>
  </si>
  <si>
    <t>Stonegate-Queensway</t>
  </si>
  <si>
    <t>Kingsway South</t>
  </si>
  <si>
    <t>Etobicoke West Mall</t>
  </si>
  <si>
    <t>Markland Wood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</si>
  <si>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</si>
  <si>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</si>
  <si>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</si>
  <si>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</si>
  <si>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</si>
  <si>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</si>
  <si>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Elms-Old Rexdale</t>
  </si>
  <si>
    <t>Rexdale-Kipling</t>
  </si>
  <si>
    <t>Thistletown-Beaumond Heights</t>
  </si>
  <si>
    <t>Mount Olive-Silverstone-Jamestown</t>
  </si>
  <si>
    <t>West Humber-Clairville</t>
  </si>
  <si>
    <t>Black Creek</t>
  </si>
  <si>
    <t>Pelmo Park-Humberlea</t>
  </si>
  <si>
    <t>Humbermede</t>
  </si>
  <si>
    <t>Humber Summit</t>
  </si>
  <si>
    <t>Years</t>
  </si>
  <si>
    <t>Total Auto Thefts </t>
  </si>
  <si>
    <t>Top 10 Neighborhoods by Total Auto Thefts</t>
  </si>
  <si>
    <t>Neighborhood</t>
  </si>
  <si>
    <t>Top 10 Neighborhoods with Fastest Growth in Auto Thefts (2014–2024)</t>
  </si>
  <si>
    <t>AUTOTHEFT_RATE_2024</t>
  </si>
  <si>
    <t>POPULATION_2024</t>
  </si>
  <si>
    <t>Top 10 Neighborhoods by Auto Theft Rate per 1,000 People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</si>
</sst>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"/>
    <numFmt numFmtId="171" formatCode="0.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-webkit-standard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2" fontId="2" fillId="0" borderId="1" xfId="0" applyNumberFormat="1" applyFont="1" applyBorder="1"/>
    <xf numFmtId="0" fontId="5" fillId="0" borderId="1" xfId="0" applyFont="1" applyBorder="1" applyAlignment="1">
      <alignment horizontal="center" vertical="top"/>
    </xf>
    <xf numFmtId="169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'Citywide Trends'!$B$1</c:f>
              <c:strCache>
                <c:ptCount val="1"/>
                <c:pt idx="0">
                  <c:v>Total Auto Thefts 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'Citywide Trends'!$A$2:$A$12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'Citywide Trends'!$B$2:$B$12</c:f>
              <c:numCache>
                <c:formatCode>General</c:formatCode>
                <c:ptCount val="11"/>
                <c:pt idx="0">
                  <c:v>3573</c:v>
                </c:pt>
                <c:pt idx="1">
                  <c:v>3261</c:v>
                </c:pt>
                <c:pt idx="2">
                  <c:v>3311</c:v>
                </c:pt>
                <c:pt idx="3">
                  <c:v>3565</c:v>
                </c:pt>
                <c:pt idx="4">
                  <c:v>4747</c:v>
                </c:pt>
                <c:pt idx="5">
                  <c:v>5280</c:v>
                </c:pt>
                <c:pt idx="6">
                  <c:v>5740</c:v>
                </c:pt>
                <c:pt idx="7">
                  <c:v>2908</c:v>
                </c:pt>
                <c:pt idx="8">
                  <c:v>9746</c:v>
                </c:pt>
                <c:pt idx="9">
                  <c:v>12190</c:v>
                </c:pt>
                <c:pt idx="10">
                  <c:v>9256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1-6F4B-8D60-018F03CCFC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8030352"/>
        <c:axId val="698201248"/>
      </c:lineChart>
      <c:catAx>
        <c:axId val="6980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01248"/>
        <c:crosses val="autoZero"/>
        <c:auto val="1"/>
        <c:lblAlgn val="ctr"/>
        <c:lblOffset val="100"/>
        <c:noMultiLvlLbl val="0"/>
      </c:catAx>
      <c:valAx>
        <c:axId val="698201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803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Top 10 Toronto Neighborhoods for Auto Theft (2014–2024)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'Citywide Trends'!$M$20</c:f>
              <c:strCache>
                <c:ptCount val="1"/>
                <c:pt idx="0">
                  <c:v>Total Auto Thefts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'Citywide Trends'!$A$21:$A$30</c:f>
              <c:strCache>
                <c:ptCount val="10"/>
                <c:pt idx="0">
                  <c:v>West Humber-Clairville</c:v>
                </c:pt>
                <c:pt idx="1">
                  <c:v>York University Heights</c:v>
                </c:pt>
                <c:pt idx="2">
                  <c:v>Etobicoke City Centre</c:v>
                </c:pt>
                <c:pt idx="3">
                  <c:v>Humber Summit</c:v>
                </c:pt>
                <c:pt idx="4">
                  <c:v>Wexford/Maryvale</c:v>
                </c:pt>
                <c:pt idx="5">
                  <c:v>Milliken</c:v>
                </c:pt>
                <c:pt idx="6">
                  <c:v>Yorkdale-Glen Park</c:v>
                </c:pt>
                <c:pt idx="7">
                  <c:v>Oakdale-Beverley Heights</c:v>
                </c:pt>
                <c:pt idx="8">
                  <c:v>Glenfield-Jane Heights</c:v>
                </c:pt>
                <c:pt idx="9">
                  <c:v>Bedford Park-Nortown</c:v>
                </c:pt>
              </c:strCache>
            </c:strRef>
          </c:cat>
          <c:val>
            <c:numRef>
              <c:f>'Citywide Trends'!$M$21:$M$30</c:f>
              <c:numCache>
                <c:formatCode>General</c:formatCode>
                <c:ptCount val="10"/>
                <c:pt idx="0">
                  <c:v>5372</c:v>
                </c:pt>
                <c:pt idx="1">
                  <c:v>1735</c:v>
                </c:pt>
                <c:pt idx="2">
                  <c:v>1518</c:v>
                </c:pt>
                <c:pt idx="3">
                  <c:v>1174</c:v>
                </c:pt>
                <c:pt idx="4">
                  <c:v>1113</c:v>
                </c:pt>
                <c:pt idx="5">
                  <c:v>1091</c:v>
                </c:pt>
                <c:pt idx="6">
                  <c:v>1032</c:v>
                </c:pt>
                <c:pt idx="7">
                  <c:v>1005</c:v>
                </c:pt>
                <c:pt idx="8">
                  <c:v>963</c:v>
                </c:pt>
                <c:pt idx="9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1-C049-B5D2-69D5F81E7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97553664"/>
        <c:axId val="697503024"/>
      </c:barChart>
      <c:catAx>
        <c:axId val="697553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03024"/>
        <c:crosses val="autoZero"/>
        <c:auto val="1"/>
        <c:lblAlgn val="ctr"/>
        <c:lblOffset val="100"/>
        <c:noMultiLvlLbl val="0"/>
      </c:catAx>
      <c:valAx>
        <c:axId val="69750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5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Top 10 Neighborhoods with Fastest Growth in Auto Thefts (2014–2024)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'Citywide Trends'!$M$55</c:f>
              <c:strCache>
                <c:ptCount val="1"/>
                <c:pt idx="0">
                  <c:v>PCT_CHANGE_2014_2024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'Citywide Trends'!$A$56:$A$65</c:f>
              <c:strCache>
                <c:ptCount val="10"/>
                <c:pt idx="0">
                  <c:v>East L'Amoreaux</c:v>
                </c:pt>
                <c:pt idx="1">
                  <c:v>Yonge-St.Clair</c:v>
                </c:pt>
                <c:pt idx="2">
                  <c:v>Malvern West</c:v>
                </c:pt>
                <c:pt idx="3">
                  <c:v>Guildwood</c:v>
                </c:pt>
                <c:pt idx="4">
                  <c:v>South Eglinton-Davisville</c:v>
                </c:pt>
                <c:pt idx="5">
                  <c:v>Agincourt North</c:v>
                </c:pt>
                <c:pt idx="6">
                  <c:v>Broadview North</c:v>
                </c:pt>
                <c:pt idx="7">
                  <c:v>Elms-Old Rexdale</c:v>
                </c:pt>
                <c:pt idx="8">
                  <c:v>Rosedale-Moore Park</c:v>
                </c:pt>
                <c:pt idx="9">
                  <c:v>The Beaches</c:v>
                </c:pt>
              </c:strCache>
            </c:strRef>
          </c:cat>
          <c:val>
            <c:numRef>
              <c:f>'Citywide Trends'!$M$56:$M$65</c:f>
              <c:numCache>
                <c:formatCode>0.00</c:formatCode>
                <c:ptCount val="10"/>
                <c:pt idx="0">
                  <c:v>971.42857142857133</c:v>
                </c:pt>
                <c:pt idx="1">
                  <c:v>900</c:v>
                </c:pt>
                <c:pt idx="2">
                  <c:v>814.28571428571422</c:v>
                </c:pt>
                <c:pt idx="3">
                  <c:v>750</c:v>
                </c:pt>
                <c:pt idx="4">
                  <c:v>700</c:v>
                </c:pt>
                <c:pt idx="5">
                  <c:v>652.94117647058818</c:v>
                </c:pt>
                <c:pt idx="6">
                  <c:v>650</c:v>
                </c:pt>
                <c:pt idx="7">
                  <c:v>642.85714285714289</c:v>
                </c:pt>
                <c:pt idx="8">
                  <c:v>640</c:v>
                </c:pt>
                <c:pt idx="9">
                  <c:v>637.5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9-3049-82F5-6AADAB1E286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3019327"/>
        <c:axId val="1486751167"/>
      </c:barChart>
      <c:catAx>
        <c:axId val="18301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751167"/>
        <c:crosses val="autoZero"/>
        <c:auto val="1"/>
        <c:lblAlgn val="ctr"/>
        <c:lblOffset val="100"/>
        <c:noMultiLvlLbl val="0"/>
      </c:catAx>
      <c:valAx>
        <c:axId val="1486751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1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Highest Auto Theft Rates per 100,000 People (2024)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'Citywide Trends'!$N$91</c:f>
              <c:strCache>
                <c:ptCount val="1"/>
                <c:pt idx="0">
                  <c:v>AUTOTHEFT_RATE_2024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'Citywide Trends'!$A$92:$A$101</c:f>
              <c:strCache>
                <c:ptCount val="10"/>
                <c:pt idx="0">
                  <c:v>West Humber-Clairville</c:v>
                </c:pt>
                <c:pt idx="1">
                  <c:v>Etobicoke City Centre</c:v>
                </c:pt>
                <c:pt idx="2">
                  <c:v>Morningside Heights</c:v>
                </c:pt>
                <c:pt idx="3">
                  <c:v>Humber Summit</c:v>
                </c:pt>
                <c:pt idx="4">
                  <c:v>Yorkdale-Glen Park</c:v>
                </c:pt>
                <c:pt idx="5">
                  <c:v>York University Heights</c:v>
                </c:pt>
                <c:pt idx="6">
                  <c:v>Agincourt North</c:v>
                </c:pt>
                <c:pt idx="7">
                  <c:v>Oakdale-Beverley Heights</c:v>
                </c:pt>
                <c:pt idx="8">
                  <c:v>Weston</c:v>
                </c:pt>
                <c:pt idx="9">
                  <c:v>Bedford Park-Nortown</c:v>
                </c:pt>
              </c:strCache>
            </c:strRef>
          </c:cat>
          <c:val>
            <c:numRef>
              <c:f>'Citywide Trends'!$N$92:$N$101</c:f>
              <c:numCache>
                <c:formatCode>General</c:formatCode>
                <c:ptCount val="10"/>
                <c:pt idx="0">
                  <c:v>1632.4555595171396</c:v>
                </c:pt>
                <c:pt idx="1">
                  <c:v>1115.670684790972</c:v>
                </c:pt>
                <c:pt idx="2">
                  <c:v>1010.2592215521967</c:v>
                </c:pt>
                <c:pt idx="3">
                  <c:v>911.854103343465</c:v>
                </c:pt>
                <c:pt idx="4">
                  <c:v>762.16400136100708</c:v>
                </c:pt>
                <c:pt idx="5">
                  <c:v>661.72578083642134</c:v>
                </c:pt>
                <c:pt idx="6">
                  <c:v>619.3748185425336</c:v>
                </c:pt>
                <c:pt idx="7">
                  <c:v>602.24473035860944</c:v>
                </c:pt>
                <c:pt idx="8">
                  <c:v>593.98099260823653</c:v>
                </c:pt>
                <c:pt idx="9">
                  <c:v>584.62607084973365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B-D84D-88A2-268806BF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6350512"/>
        <c:axId val="1485774591"/>
      </c:barChart>
      <c:catAx>
        <c:axId val="21635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74591"/>
        <c:crosses val="autoZero"/>
        <c:auto val="1"/>
        <c:lblAlgn val="ctr"/>
        <c:lblOffset val="100"/>
        <c:noMultiLvlLbl val="0"/>
      </c:catAx>
      <c:valAx>
        <c:axId val="148577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5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196850</xdr:rowOff>
    </xdr:from>
    <xdr:to>
      <xdr:col>10</xdr:col>
      <xdr:colOff>787400</xdr:colOff>
      <xdr:row>15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9DD23E-E1D1-89B6-91A5-4E553D272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1651000</xdr:colOff>
      <xdr:row>30</xdr:row>
      <xdr:rowOff>184150</xdr:rowOff>
    </xdr:from>
    <xdr:to>
      <xdr:col>11</xdr:col>
      <xdr:colOff>749300</xdr:colOff>
      <xdr:row>52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82C73D-D83B-99ED-919A-369395B4E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65</xdr:row>
      <xdr:rowOff>171450</xdr:rowOff>
    </xdr:from>
    <xdr:to>
      <xdr:col>11</xdr:col>
      <xdr:colOff>660400</xdr:colOff>
      <xdr:row>87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0C560A-F4B5-D68E-EB82-86402ACC7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1949450</xdr:colOff>
      <xdr:row>102</xdr:row>
      <xdr:rowOff>57150</xdr:rowOff>
    </xdr:from>
    <xdr:to>
      <xdr:col>12</xdr:col>
      <xdr:colOff>63500</xdr:colOff>
      <xdr:row>124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1623D1-F67B-49E4-46A0-432E17DE2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8B1C-6A9F-794E-AEF5-5C7134E7EE91}">
  <dimension ref="A1:P101"/>
  <sheetViews>
    <sheetView tabSelected="1" workbookViewId="0">
      <selection activeCell="M106" sqref="M106"/>
    </sheetView>
  </sheetViews>
  <sheetFormatPr baseColWidth="10" defaultRowHeight="15"/>
  <cols>
    <col min="1" max="1" width="25.6640625" customWidth="1"/>
    <col min="2" max="2" width="18.6640625" bestFit="1" customWidth="1"/>
    <col min="13" max="13" width="28" customWidth="1"/>
    <col min="14" max="14" width="28.83203125" bestFit="1" customWidth="1"/>
  </cols>
  <sheetData>
    <row r="1" spans="1:2" ht="19">
      <c r="A1" s="4" t="s">
        <v>172</v>
      </c>
      <c r="B1" s="4" t="s">
        <v>173</v>
      </c>
    </row>
    <row r="2" spans="1:2" ht="19">
      <c r="A2" s="3">
        <v>2014</v>
      </c>
      <c r="B2" s="3">
        <f>SUM('Cleaned Dataset'!B2:B159)</f>
        <v>3573</v>
      </c>
    </row>
    <row r="3" spans="1:2" ht="19">
      <c r="A3" s="3">
        <v>2015</v>
      </c>
      <c r="B3" s="3">
        <f>SUM('Cleaned Dataset'!C2:C159)</f>
        <v>3261</v>
      </c>
    </row>
    <row r="4" spans="1:2" ht="19">
      <c r="A4" s="3">
        <v>2016</v>
      </c>
      <c r="B4" s="3">
        <f>SUM('Cleaned Dataset'!D2:D159)</f>
        <v>3311</v>
      </c>
    </row>
    <row r="5" spans="1:2" ht="19">
      <c r="A5" s="3">
        <v>2017</v>
      </c>
      <c r="B5" s="3">
        <f>SUM('Cleaned Dataset'!E2:E159)</f>
        <v>3565</v>
      </c>
    </row>
    <row r="6" spans="1:2" ht="19">
      <c r="A6" s="3">
        <v>2018</v>
      </c>
      <c r="B6" s="3">
        <f>SUM('Cleaned Dataset'!F2:F159)</f>
        <v>4747</v>
      </c>
    </row>
    <row r="7" spans="1:2" ht="19">
      <c r="A7" s="3">
        <v>2019</v>
      </c>
      <c r="B7" s="3">
        <f>SUM('Cleaned Dataset'!G2:G159)</f>
        <v>5280</v>
      </c>
    </row>
    <row r="8" spans="1:2" ht="19">
      <c r="A8" s="3">
        <v>2020</v>
      </c>
      <c r="B8" s="3">
        <f>SUM('Cleaned Dataset'!H2:H159)</f>
        <v>5740</v>
      </c>
    </row>
    <row r="9" spans="1:2" ht="19">
      <c r="A9" s="3">
        <v>2021</v>
      </c>
      <c r="B9" s="3">
        <f>SUM('Cleaned Dataset'!B9:B165)</f>
        <v>2908</v>
      </c>
    </row>
    <row r="10" spans="1:2" ht="19">
      <c r="A10" s="3">
        <v>2022</v>
      </c>
      <c r="B10" s="3">
        <f>SUM('Cleaned Dataset'!J2:J159)</f>
        <v>9746</v>
      </c>
    </row>
    <row r="11" spans="1:2" ht="19">
      <c r="A11" s="3">
        <v>2023</v>
      </c>
      <c r="B11" s="3">
        <f>SUM('Cleaned Dataset'!K2:K159)</f>
        <v>12190</v>
      </c>
    </row>
    <row r="12" spans="1:2" ht="19">
      <c r="A12" s="3">
        <v>2024</v>
      </c>
      <c r="B12" s="3">
        <f>SUM('Cleaned Dataset'!L2:L159)</f>
        <v>9256</v>
      </c>
    </row>
    <row r="19" spans="1:13" ht="19">
      <c r="A19" s="2" t="s">
        <v>174</v>
      </c>
    </row>
    <row r="20" spans="1:13" ht="18">
      <c r="A20" s="5" t="s">
        <v>175</v>
      </c>
      <c r="B20" s="5">
        <v>2014</v>
      </c>
      <c r="C20" s="5">
        <v>2015</v>
      </c>
      <c r="D20" s="5">
        <v>2016</v>
      </c>
      <c r="E20" s="5">
        <v>2017</v>
      </c>
      <c r="F20" s="5">
        <v>2018</v>
      </c>
      <c r="G20" s="5">
        <v>2019</v>
      </c>
      <c r="H20" s="5">
        <v>2020</v>
      </c>
      <c r="I20" s="5">
        <v>2021</v>
      </c>
      <c r="J20" s="5">
        <v>2022</v>
      </c>
      <c r="K20" s="5">
        <v>2023</v>
      </c>
      <c r="L20" s="5">
        <v>2024</v>
      </c>
      <c r="M20" s="5" t="s">
        <v>173</v>
      </c>
    </row>
    <row r="21" spans="1:13" ht="19">
      <c r="A21" s="3" t="s">
        <v>167</v>
      </c>
      <c r="B21" s="3">
        <v>309</v>
      </c>
      <c r="C21" s="3">
        <v>265</v>
      </c>
      <c r="D21" s="3">
        <v>322</v>
      </c>
      <c r="E21" s="3">
        <v>325</v>
      </c>
      <c r="F21" s="3">
        <v>503</v>
      </c>
      <c r="G21" s="3">
        <v>486</v>
      </c>
      <c r="H21" s="3">
        <v>405</v>
      </c>
      <c r="I21" s="3">
        <v>498</v>
      </c>
      <c r="J21" s="3">
        <v>781</v>
      </c>
      <c r="K21" s="3">
        <v>837</v>
      </c>
      <c r="L21" s="3">
        <v>641</v>
      </c>
      <c r="M21" s="3">
        <f>SUM(B21:L21)</f>
        <v>5372</v>
      </c>
    </row>
    <row r="22" spans="1:13" ht="19">
      <c r="A22" s="3" t="s">
        <v>139</v>
      </c>
      <c r="B22" s="3">
        <v>109</v>
      </c>
      <c r="C22" s="3">
        <v>101</v>
      </c>
      <c r="D22" s="3">
        <v>109</v>
      </c>
      <c r="E22" s="3">
        <v>93</v>
      </c>
      <c r="F22" s="3">
        <v>90</v>
      </c>
      <c r="G22" s="3">
        <v>148</v>
      </c>
      <c r="H22" s="3">
        <v>187</v>
      </c>
      <c r="I22" s="3">
        <v>174</v>
      </c>
      <c r="J22" s="3">
        <v>235</v>
      </c>
      <c r="K22" s="3">
        <v>264</v>
      </c>
      <c r="L22" s="3">
        <v>225</v>
      </c>
      <c r="M22" s="3">
        <f t="shared" ref="M22:M30" si="0">SUM(B22:L22)</f>
        <v>1735</v>
      </c>
    </row>
    <row r="23" spans="1:13" ht="19">
      <c r="A23" s="3" t="s">
        <v>60</v>
      </c>
      <c r="B23" s="3">
        <v>64</v>
      </c>
      <c r="C23" s="3">
        <v>76</v>
      </c>
      <c r="D23" s="3">
        <v>103</v>
      </c>
      <c r="E23" s="3">
        <v>71</v>
      </c>
      <c r="F23" s="3">
        <v>122</v>
      </c>
      <c r="G23" s="3">
        <v>118</v>
      </c>
      <c r="H23" s="3">
        <v>102</v>
      </c>
      <c r="I23" s="3">
        <v>118</v>
      </c>
      <c r="J23" s="3">
        <v>189</v>
      </c>
      <c r="K23" s="3">
        <v>294</v>
      </c>
      <c r="L23" s="3">
        <v>261</v>
      </c>
      <c r="M23" s="3">
        <f t="shared" si="0"/>
        <v>1518</v>
      </c>
    </row>
    <row r="24" spans="1:13" ht="19">
      <c r="A24" s="3" t="s">
        <v>171</v>
      </c>
      <c r="B24" s="3">
        <v>68</v>
      </c>
      <c r="C24" s="3">
        <v>41</v>
      </c>
      <c r="D24" s="3">
        <v>63</v>
      </c>
      <c r="E24" s="3">
        <v>83</v>
      </c>
      <c r="F24" s="3">
        <v>111</v>
      </c>
      <c r="G24" s="3">
        <v>136</v>
      </c>
      <c r="H24" s="3">
        <v>111</v>
      </c>
      <c r="I24" s="3">
        <v>139</v>
      </c>
      <c r="J24" s="3">
        <v>176</v>
      </c>
      <c r="K24" s="3">
        <v>132</v>
      </c>
      <c r="L24" s="3">
        <v>114</v>
      </c>
      <c r="M24" s="3">
        <f t="shared" si="0"/>
        <v>1174</v>
      </c>
    </row>
    <row r="25" spans="1:13" ht="19">
      <c r="A25" s="3" t="s">
        <v>83</v>
      </c>
      <c r="B25" s="3">
        <v>60</v>
      </c>
      <c r="C25" s="3">
        <v>54</v>
      </c>
      <c r="D25" s="3">
        <v>44</v>
      </c>
      <c r="E25" s="3">
        <v>68</v>
      </c>
      <c r="F25" s="3">
        <v>87</v>
      </c>
      <c r="G25" s="3">
        <v>99</v>
      </c>
      <c r="H25" s="3">
        <v>89</v>
      </c>
      <c r="I25" s="3">
        <v>92</v>
      </c>
      <c r="J25" s="3">
        <v>130</v>
      </c>
      <c r="K25" s="3">
        <v>208</v>
      </c>
      <c r="L25" s="3">
        <v>182</v>
      </c>
      <c r="M25" s="3">
        <f t="shared" si="0"/>
        <v>1113</v>
      </c>
    </row>
    <row r="26" spans="1:13" ht="19">
      <c r="A26" s="3" t="s">
        <v>43</v>
      </c>
      <c r="B26" s="3">
        <v>38</v>
      </c>
      <c r="C26" s="3">
        <v>43</v>
      </c>
      <c r="D26" s="3">
        <v>35</v>
      </c>
      <c r="E26" s="3">
        <v>60</v>
      </c>
      <c r="F26" s="3">
        <v>89</v>
      </c>
      <c r="G26" s="3">
        <v>85</v>
      </c>
      <c r="H26" s="3">
        <v>69</v>
      </c>
      <c r="I26" s="3">
        <v>80</v>
      </c>
      <c r="J26" s="3">
        <v>107</v>
      </c>
      <c r="K26" s="3">
        <v>305</v>
      </c>
      <c r="L26" s="3">
        <v>180</v>
      </c>
      <c r="M26" s="3">
        <f t="shared" si="0"/>
        <v>1091</v>
      </c>
    </row>
    <row r="27" spans="1:13" ht="19">
      <c r="A27" s="3" t="s">
        <v>135</v>
      </c>
      <c r="B27" s="3">
        <v>67</v>
      </c>
      <c r="C27" s="3">
        <v>53</v>
      </c>
      <c r="D27" s="3">
        <v>41</v>
      </c>
      <c r="E27" s="3">
        <v>52</v>
      </c>
      <c r="F27" s="3">
        <v>63</v>
      </c>
      <c r="G27" s="3">
        <v>62</v>
      </c>
      <c r="H27" s="3">
        <v>88</v>
      </c>
      <c r="I27" s="3">
        <v>96</v>
      </c>
      <c r="J27" s="3">
        <v>196</v>
      </c>
      <c r="K27" s="3">
        <v>202</v>
      </c>
      <c r="L27" s="3">
        <v>112</v>
      </c>
      <c r="M27" s="3">
        <f t="shared" si="0"/>
        <v>1032</v>
      </c>
    </row>
    <row r="28" spans="1:13" ht="19">
      <c r="A28" s="3" t="s">
        <v>22</v>
      </c>
      <c r="B28" s="3">
        <v>66</v>
      </c>
      <c r="C28" s="3">
        <v>70</v>
      </c>
      <c r="D28" s="3">
        <v>51</v>
      </c>
      <c r="E28" s="3">
        <v>53</v>
      </c>
      <c r="F28" s="3">
        <v>75</v>
      </c>
      <c r="G28" s="3">
        <v>92</v>
      </c>
      <c r="H28" s="3">
        <v>103</v>
      </c>
      <c r="I28" s="3">
        <v>115</v>
      </c>
      <c r="J28" s="3">
        <v>106</v>
      </c>
      <c r="K28" s="3">
        <v>164</v>
      </c>
      <c r="L28" s="3">
        <v>110</v>
      </c>
      <c r="M28" s="3">
        <f t="shared" si="0"/>
        <v>1005</v>
      </c>
    </row>
    <row r="29" spans="1:13" ht="19">
      <c r="A29" s="3" t="s">
        <v>140</v>
      </c>
      <c r="B29" s="3">
        <v>44</v>
      </c>
      <c r="C29" s="3">
        <v>50</v>
      </c>
      <c r="D29" s="3">
        <v>64</v>
      </c>
      <c r="E29" s="3">
        <v>50</v>
      </c>
      <c r="F29" s="3">
        <v>68</v>
      </c>
      <c r="G29" s="3">
        <v>83</v>
      </c>
      <c r="H29" s="3">
        <v>120</v>
      </c>
      <c r="I29" s="3">
        <v>106</v>
      </c>
      <c r="J29" s="3">
        <v>155</v>
      </c>
      <c r="K29" s="3">
        <v>120</v>
      </c>
      <c r="L29" s="3">
        <v>103</v>
      </c>
      <c r="M29" s="3">
        <f t="shared" si="0"/>
        <v>963</v>
      </c>
    </row>
    <row r="30" spans="1:13" ht="19">
      <c r="A30" s="3" t="s">
        <v>127</v>
      </c>
      <c r="B30" s="3">
        <v>40</v>
      </c>
      <c r="C30" s="3">
        <v>40</v>
      </c>
      <c r="D30" s="3">
        <v>30</v>
      </c>
      <c r="E30" s="3">
        <v>47</v>
      </c>
      <c r="F30" s="3">
        <v>49</v>
      </c>
      <c r="G30" s="3">
        <v>63</v>
      </c>
      <c r="H30" s="3">
        <v>81</v>
      </c>
      <c r="I30" s="3">
        <v>105</v>
      </c>
      <c r="J30" s="3">
        <v>172</v>
      </c>
      <c r="K30" s="3">
        <v>228</v>
      </c>
      <c r="L30" s="3">
        <v>101</v>
      </c>
      <c r="M30" s="3">
        <f t="shared" si="0"/>
        <v>956</v>
      </c>
    </row>
    <row r="54" spans="1:13" ht="19">
      <c r="A54" s="2" t="s">
        <v>176</v>
      </c>
    </row>
    <row r="55" spans="1:13" ht="18">
      <c r="A55" s="5" t="s">
        <v>175</v>
      </c>
      <c r="B55" s="5">
        <v>2014</v>
      </c>
      <c r="C55" s="5">
        <v>2015</v>
      </c>
      <c r="D55" s="5">
        <v>2016</v>
      </c>
      <c r="E55" s="5">
        <v>2017</v>
      </c>
      <c r="F55" s="5">
        <v>2018</v>
      </c>
      <c r="G55" s="5">
        <v>2019</v>
      </c>
      <c r="H55" s="5">
        <v>2020</v>
      </c>
      <c r="I55" s="5">
        <v>2021</v>
      </c>
      <c r="J55" s="5">
        <v>2022</v>
      </c>
      <c r="K55" s="5">
        <v>2023</v>
      </c>
      <c r="L55" s="5">
        <v>2024</v>
      </c>
      <c r="M55" s="5" t="s">
        <v>13</v>
      </c>
    </row>
    <row r="56" spans="1:13" ht="19">
      <c r="A56" s="3" t="s">
        <v>28</v>
      </c>
      <c r="B56" s="3">
        <v>7</v>
      </c>
      <c r="C56" s="3">
        <v>8</v>
      </c>
      <c r="D56" s="3">
        <v>13</v>
      </c>
      <c r="E56" s="3">
        <v>11</v>
      </c>
      <c r="F56" s="3">
        <v>13</v>
      </c>
      <c r="G56" s="3">
        <v>14</v>
      </c>
      <c r="H56" s="3">
        <v>14</v>
      </c>
      <c r="I56" s="3">
        <v>19</v>
      </c>
      <c r="J56" s="3">
        <v>46</v>
      </c>
      <c r="K56" s="3">
        <v>53</v>
      </c>
      <c r="L56" s="3">
        <v>75</v>
      </c>
      <c r="M56" s="6">
        <f>IF(B56=0, "", ((L56 - B56) / B56) * 100)</f>
        <v>971.42857142857133</v>
      </c>
    </row>
    <row r="57" spans="1:13" ht="19">
      <c r="A57" s="3" t="s">
        <v>74</v>
      </c>
      <c r="B57" s="3">
        <v>2</v>
      </c>
      <c r="C57" s="3">
        <v>3</v>
      </c>
      <c r="D57" s="3">
        <v>7</v>
      </c>
      <c r="E57" s="3">
        <v>2</v>
      </c>
      <c r="F57" s="3">
        <v>6</v>
      </c>
      <c r="G57" s="3">
        <v>6</v>
      </c>
      <c r="H57" s="3">
        <v>9</v>
      </c>
      <c r="I57" s="3">
        <v>13</v>
      </c>
      <c r="J57" s="3">
        <v>32</v>
      </c>
      <c r="K57" s="3">
        <v>40</v>
      </c>
      <c r="L57" s="3">
        <v>20</v>
      </c>
      <c r="M57" s="6">
        <f t="shared" ref="M57:M65" si="1">IF(B57=0, "", ((L57 - B57) / B57) * 100)</f>
        <v>900</v>
      </c>
    </row>
    <row r="58" spans="1:13" ht="19">
      <c r="A58" s="3" t="s">
        <v>31</v>
      </c>
      <c r="B58" s="3">
        <v>7</v>
      </c>
      <c r="C58" s="3">
        <v>18</v>
      </c>
      <c r="D58" s="3">
        <v>18</v>
      </c>
      <c r="E58" s="3">
        <v>30</v>
      </c>
      <c r="F58" s="3">
        <v>26</v>
      </c>
      <c r="G58" s="3">
        <v>38</v>
      </c>
      <c r="H58" s="3">
        <v>24</v>
      </c>
      <c r="I58" s="3">
        <v>22</v>
      </c>
      <c r="J58" s="3">
        <v>55</v>
      </c>
      <c r="K58" s="3">
        <v>55</v>
      </c>
      <c r="L58" s="3">
        <v>64</v>
      </c>
      <c r="M58" s="6">
        <f t="shared" si="1"/>
        <v>814.28571428571422</v>
      </c>
    </row>
    <row r="59" spans="1:13" ht="19">
      <c r="A59" s="3" t="s">
        <v>36</v>
      </c>
      <c r="B59" s="3">
        <v>2</v>
      </c>
      <c r="C59" s="3">
        <v>0</v>
      </c>
      <c r="D59" s="3">
        <v>4</v>
      </c>
      <c r="E59" s="3">
        <v>5</v>
      </c>
      <c r="F59" s="3">
        <v>2</v>
      </c>
      <c r="G59" s="3">
        <v>3</v>
      </c>
      <c r="H59" s="3">
        <v>11</v>
      </c>
      <c r="I59" s="3">
        <v>13</v>
      </c>
      <c r="J59" s="3">
        <v>9</v>
      </c>
      <c r="K59" s="3">
        <v>23</v>
      </c>
      <c r="L59" s="3">
        <v>17</v>
      </c>
      <c r="M59" s="6">
        <f t="shared" si="1"/>
        <v>750</v>
      </c>
    </row>
    <row r="60" spans="1:13" ht="19">
      <c r="A60" s="3" t="s">
        <v>14</v>
      </c>
      <c r="B60" s="3">
        <v>2</v>
      </c>
      <c r="C60" s="3">
        <v>4</v>
      </c>
      <c r="D60" s="3">
        <v>3</v>
      </c>
      <c r="E60" s="3">
        <v>8</v>
      </c>
      <c r="F60" s="3">
        <v>15</v>
      </c>
      <c r="G60" s="3">
        <v>8</v>
      </c>
      <c r="H60" s="3">
        <v>14</v>
      </c>
      <c r="I60" s="3">
        <v>15</v>
      </c>
      <c r="J60" s="3">
        <v>10</v>
      </c>
      <c r="K60" s="3">
        <v>20</v>
      </c>
      <c r="L60" s="3">
        <v>16</v>
      </c>
      <c r="M60" s="6">
        <f t="shared" si="1"/>
        <v>700</v>
      </c>
    </row>
    <row r="61" spans="1:13" ht="19">
      <c r="A61" s="3" t="s">
        <v>44</v>
      </c>
      <c r="B61" s="3">
        <v>17</v>
      </c>
      <c r="C61" s="3">
        <v>29</v>
      </c>
      <c r="D61" s="3">
        <v>18</v>
      </c>
      <c r="E61" s="3">
        <v>33</v>
      </c>
      <c r="F61" s="3">
        <v>42</v>
      </c>
      <c r="G61" s="3">
        <v>42</v>
      </c>
      <c r="H61" s="3">
        <v>63</v>
      </c>
      <c r="I61" s="3">
        <v>52</v>
      </c>
      <c r="J61" s="3">
        <v>49</v>
      </c>
      <c r="K61" s="3">
        <v>125</v>
      </c>
      <c r="L61" s="3">
        <v>128</v>
      </c>
      <c r="M61" s="6">
        <f t="shared" si="1"/>
        <v>652.94117647058818</v>
      </c>
    </row>
    <row r="62" spans="1:13" ht="19">
      <c r="A62" s="3" t="s">
        <v>141</v>
      </c>
      <c r="B62" s="3">
        <v>2</v>
      </c>
      <c r="C62" s="3">
        <v>4</v>
      </c>
      <c r="D62" s="3">
        <v>7</v>
      </c>
      <c r="E62" s="3">
        <v>6</v>
      </c>
      <c r="F62" s="3">
        <v>6</v>
      </c>
      <c r="G62" s="3">
        <v>3</v>
      </c>
      <c r="H62" s="3">
        <v>7</v>
      </c>
      <c r="I62" s="3">
        <v>11</v>
      </c>
      <c r="J62" s="3">
        <v>15</v>
      </c>
      <c r="K62" s="3">
        <v>17</v>
      </c>
      <c r="L62" s="3">
        <v>15</v>
      </c>
      <c r="M62" s="6">
        <f t="shared" si="1"/>
        <v>650</v>
      </c>
    </row>
    <row r="63" spans="1:13" ht="19">
      <c r="A63" s="3" t="s">
        <v>163</v>
      </c>
      <c r="B63" s="3">
        <v>7</v>
      </c>
      <c r="C63" s="3">
        <v>19</v>
      </c>
      <c r="D63" s="3">
        <v>16</v>
      </c>
      <c r="E63" s="3">
        <v>12</v>
      </c>
      <c r="F63" s="3">
        <v>33</v>
      </c>
      <c r="G63" s="3">
        <v>28</v>
      </c>
      <c r="H63" s="3">
        <v>42</v>
      </c>
      <c r="I63" s="3">
        <v>51</v>
      </c>
      <c r="J63" s="3">
        <v>60</v>
      </c>
      <c r="K63" s="3">
        <v>39</v>
      </c>
      <c r="L63" s="3">
        <v>52</v>
      </c>
      <c r="M63" s="6">
        <f t="shared" si="1"/>
        <v>642.85714285714289</v>
      </c>
    </row>
    <row r="64" spans="1:13" ht="19">
      <c r="A64" s="3" t="s">
        <v>73</v>
      </c>
      <c r="B64" s="3">
        <v>10</v>
      </c>
      <c r="C64" s="3">
        <v>27</v>
      </c>
      <c r="D64" s="3">
        <v>12</v>
      </c>
      <c r="E64" s="3">
        <v>7</v>
      </c>
      <c r="F64" s="3">
        <v>31</v>
      </c>
      <c r="G64" s="3">
        <v>34</v>
      </c>
      <c r="H64" s="3">
        <v>52</v>
      </c>
      <c r="I64" s="3">
        <v>73</v>
      </c>
      <c r="J64" s="3">
        <v>111</v>
      </c>
      <c r="K64" s="3">
        <v>144</v>
      </c>
      <c r="L64" s="3">
        <v>74</v>
      </c>
      <c r="M64" s="6">
        <f t="shared" si="1"/>
        <v>640</v>
      </c>
    </row>
    <row r="65" spans="1:13" ht="19">
      <c r="A65" s="3" t="s">
        <v>106</v>
      </c>
      <c r="B65" s="3">
        <v>8</v>
      </c>
      <c r="C65" s="3">
        <v>24</v>
      </c>
      <c r="D65" s="3">
        <v>7</v>
      </c>
      <c r="E65" s="3">
        <v>11</v>
      </c>
      <c r="F65" s="3">
        <v>31</v>
      </c>
      <c r="G65" s="3">
        <v>20</v>
      </c>
      <c r="H65" s="3">
        <v>23</v>
      </c>
      <c r="I65" s="3">
        <v>30</v>
      </c>
      <c r="J65" s="3">
        <v>54</v>
      </c>
      <c r="K65" s="3">
        <v>59</v>
      </c>
      <c r="L65" s="3">
        <v>59</v>
      </c>
      <c r="M65" s="6">
        <f t="shared" si="1"/>
        <v>637.5</v>
      </c>
    </row>
    <row r="90" spans="1:16" ht="19">
      <c r="A90" s="2" t="s">
        <v>179</v>
      </c>
    </row>
    <row r="91" spans="1:16" ht="18">
      <c r="A91" s="5" t="s">
        <v>175</v>
      </c>
      <c r="B91" s="5">
        <v>2014</v>
      </c>
      <c r="C91" s="5">
        <v>2015</v>
      </c>
      <c r="D91" s="5">
        <v>2016</v>
      </c>
      <c r="E91" s="5">
        <v>2017</v>
      </c>
      <c r="F91" s="5">
        <v>2018</v>
      </c>
      <c r="G91" s="5">
        <v>2019</v>
      </c>
      <c r="H91" s="5">
        <v>2020</v>
      </c>
      <c r="I91" s="5">
        <v>2021</v>
      </c>
      <c r="J91" s="5">
        <v>2022</v>
      </c>
      <c r="K91" s="5">
        <v>2023</v>
      </c>
      <c r="L91" s="5">
        <v>2024</v>
      </c>
      <c r="M91" s="5" t="s">
        <v>178</v>
      </c>
      <c r="N91" s="5" t="s">
        <v>177</v>
      </c>
    </row>
    <row r="92" spans="1:16" ht="19">
      <c r="A92" s="3" t="s">
        <v>167</v>
      </c>
      <c r="B92" s="3">
        <v>309</v>
      </c>
      <c r="C92" s="3">
        <v>265</v>
      </c>
      <c r="D92" s="3">
        <v>322</v>
      </c>
      <c r="E92" s="3">
        <v>325</v>
      </c>
      <c r="F92" s="3">
        <v>503</v>
      </c>
      <c r="G92" s="3">
        <v>486</v>
      </c>
      <c r="H92" s="3">
        <v>405</v>
      </c>
      <c r="I92" s="3">
        <v>498</v>
      </c>
      <c r="J92" s="3">
        <v>781</v>
      </c>
      <c r="K92" s="3">
        <v>837</v>
      </c>
      <c r="L92" s="3">
        <v>641</v>
      </c>
      <c r="M92" s="3">
        <v>39266</v>
      </c>
      <c r="N92" s="3">
        <f>L92 / M92 * 100000</f>
        <v>1632.4555595171396</v>
      </c>
      <c r="P92" s="9"/>
    </row>
    <row r="93" spans="1:16" ht="19">
      <c r="A93" s="3" t="s">
        <v>60</v>
      </c>
      <c r="B93" s="3">
        <v>64</v>
      </c>
      <c r="C93" s="3">
        <v>76</v>
      </c>
      <c r="D93" s="3">
        <v>103</v>
      </c>
      <c r="E93" s="3">
        <v>71</v>
      </c>
      <c r="F93" s="3">
        <v>122</v>
      </c>
      <c r="G93" s="3">
        <v>118</v>
      </c>
      <c r="H93" s="3">
        <v>102</v>
      </c>
      <c r="I93" s="3">
        <v>118</v>
      </c>
      <c r="J93" s="3">
        <v>189</v>
      </c>
      <c r="K93" s="3">
        <v>294</v>
      </c>
      <c r="L93" s="3">
        <v>261</v>
      </c>
      <c r="M93" s="3">
        <v>23394</v>
      </c>
      <c r="N93" s="3">
        <f t="shared" ref="N93:N101" si="2">L93 / M93 * 100000</f>
        <v>1115.670684790972</v>
      </c>
      <c r="P93" s="9"/>
    </row>
    <row r="94" spans="1:16" ht="19">
      <c r="A94" s="3" t="s">
        <v>32</v>
      </c>
      <c r="B94" s="3">
        <v>31</v>
      </c>
      <c r="C94" s="3">
        <v>23</v>
      </c>
      <c r="D94" s="3">
        <v>16</v>
      </c>
      <c r="E94" s="3">
        <v>24</v>
      </c>
      <c r="F94" s="3">
        <v>46</v>
      </c>
      <c r="G94" s="3">
        <v>54</v>
      </c>
      <c r="H94" s="3">
        <v>43</v>
      </c>
      <c r="I94" s="3">
        <v>76</v>
      </c>
      <c r="J94" s="3">
        <v>132</v>
      </c>
      <c r="K94" s="3">
        <v>157</v>
      </c>
      <c r="L94" s="3">
        <v>129</v>
      </c>
      <c r="M94" s="3">
        <v>12769</v>
      </c>
      <c r="N94" s="3">
        <f t="shared" si="2"/>
        <v>1010.2592215521967</v>
      </c>
      <c r="P94" s="9"/>
    </row>
    <row r="95" spans="1:16" ht="19">
      <c r="A95" s="3" t="s">
        <v>171</v>
      </c>
      <c r="B95" s="3">
        <v>68</v>
      </c>
      <c r="C95" s="3">
        <v>41</v>
      </c>
      <c r="D95" s="3">
        <v>63</v>
      </c>
      <c r="E95" s="3">
        <v>83</v>
      </c>
      <c r="F95" s="3">
        <v>111</v>
      </c>
      <c r="G95" s="3">
        <v>136</v>
      </c>
      <c r="H95" s="3">
        <v>111</v>
      </c>
      <c r="I95" s="3">
        <v>139</v>
      </c>
      <c r="J95" s="3">
        <v>176</v>
      </c>
      <c r="K95" s="3">
        <v>132</v>
      </c>
      <c r="L95" s="3">
        <v>114</v>
      </c>
      <c r="M95" s="3">
        <v>12502</v>
      </c>
      <c r="N95" s="3">
        <f t="shared" si="2"/>
        <v>911.854103343465</v>
      </c>
      <c r="P95" s="9"/>
    </row>
    <row r="96" spans="1:16" ht="19">
      <c r="A96" s="3" t="s">
        <v>135</v>
      </c>
      <c r="B96" s="3">
        <v>67</v>
      </c>
      <c r="C96" s="3">
        <v>53</v>
      </c>
      <c r="D96" s="3">
        <v>41</v>
      </c>
      <c r="E96" s="3">
        <v>52</v>
      </c>
      <c r="F96" s="3">
        <v>63</v>
      </c>
      <c r="G96" s="3">
        <v>62</v>
      </c>
      <c r="H96" s="3">
        <v>88</v>
      </c>
      <c r="I96" s="3">
        <v>96</v>
      </c>
      <c r="J96" s="3">
        <v>196</v>
      </c>
      <c r="K96" s="3">
        <v>202</v>
      </c>
      <c r="L96" s="3">
        <v>112</v>
      </c>
      <c r="M96" s="3">
        <v>14695</v>
      </c>
      <c r="N96" s="3">
        <f t="shared" si="2"/>
        <v>762.16400136100708</v>
      </c>
      <c r="P96" s="9"/>
    </row>
    <row r="97" spans="1:16" ht="19">
      <c r="A97" s="3" t="s">
        <v>139</v>
      </c>
      <c r="B97" s="3">
        <v>109</v>
      </c>
      <c r="C97" s="3">
        <v>101</v>
      </c>
      <c r="D97" s="3">
        <v>109</v>
      </c>
      <c r="E97" s="3">
        <v>93</v>
      </c>
      <c r="F97" s="3">
        <v>90</v>
      </c>
      <c r="G97" s="3">
        <v>148</v>
      </c>
      <c r="H97" s="3">
        <v>187</v>
      </c>
      <c r="I97" s="3">
        <v>174</v>
      </c>
      <c r="J97" s="3">
        <v>235</v>
      </c>
      <c r="K97" s="3">
        <v>264</v>
      </c>
      <c r="L97" s="3">
        <v>225</v>
      </c>
      <c r="M97" s="3">
        <v>34002</v>
      </c>
      <c r="N97" s="3">
        <f t="shared" si="2"/>
        <v>661.72578083642134</v>
      </c>
      <c r="P97" s="9"/>
    </row>
    <row r="98" spans="1:16" ht="19">
      <c r="A98" s="3" t="s">
        <v>44</v>
      </c>
      <c r="B98" s="3">
        <v>17</v>
      </c>
      <c r="C98" s="3">
        <v>29</v>
      </c>
      <c r="D98" s="3">
        <v>18</v>
      </c>
      <c r="E98" s="3">
        <v>33</v>
      </c>
      <c r="F98" s="3">
        <v>42</v>
      </c>
      <c r="G98" s="3">
        <v>42</v>
      </c>
      <c r="H98" s="3">
        <v>63</v>
      </c>
      <c r="I98" s="3">
        <v>52</v>
      </c>
      <c r="J98" s="3">
        <v>49</v>
      </c>
      <c r="K98" s="3">
        <v>125</v>
      </c>
      <c r="L98" s="3">
        <v>128</v>
      </c>
      <c r="M98" s="3">
        <v>20666</v>
      </c>
      <c r="N98" s="3">
        <f t="shared" si="2"/>
        <v>619.3748185425336</v>
      </c>
      <c r="P98" s="9"/>
    </row>
    <row r="99" spans="1:16" ht="19">
      <c r="A99" s="3" t="s">
        <v>22</v>
      </c>
      <c r="B99" s="3">
        <v>66</v>
      </c>
      <c r="C99" s="3">
        <v>70</v>
      </c>
      <c r="D99" s="3">
        <v>51</v>
      </c>
      <c r="E99" s="3">
        <v>53</v>
      </c>
      <c r="F99" s="3">
        <v>75</v>
      </c>
      <c r="G99" s="3">
        <v>92</v>
      </c>
      <c r="H99" s="3">
        <v>103</v>
      </c>
      <c r="I99" s="3">
        <v>115</v>
      </c>
      <c r="J99" s="3">
        <v>106</v>
      </c>
      <c r="K99" s="3">
        <v>164</v>
      </c>
      <c r="L99" s="3">
        <v>110</v>
      </c>
      <c r="M99" s="3">
        <v>18265</v>
      </c>
      <c r="N99" s="3">
        <f t="shared" si="2"/>
        <v>602.24473035860944</v>
      </c>
      <c r="P99" s="9"/>
    </row>
    <row r="100" spans="1:16" ht="19">
      <c r="A100" s="3" t="s">
        <v>88</v>
      </c>
      <c r="B100" s="3">
        <v>55</v>
      </c>
      <c r="C100" s="3">
        <v>35</v>
      </c>
      <c r="D100" s="3">
        <v>40</v>
      </c>
      <c r="E100" s="3">
        <v>44</v>
      </c>
      <c r="F100" s="3">
        <v>55</v>
      </c>
      <c r="G100" s="3">
        <v>46</v>
      </c>
      <c r="H100" s="3">
        <v>78</v>
      </c>
      <c r="I100" s="3">
        <v>60</v>
      </c>
      <c r="J100" s="3">
        <v>99</v>
      </c>
      <c r="K100" s="3">
        <v>108</v>
      </c>
      <c r="L100" s="3">
        <v>90</v>
      </c>
      <c r="M100" s="3">
        <v>15152</v>
      </c>
      <c r="N100" s="3">
        <f t="shared" si="2"/>
        <v>593.98099260823653</v>
      </c>
      <c r="P100" s="9"/>
    </row>
    <row r="101" spans="1:16" ht="19">
      <c r="A101" s="3" t="s">
        <v>127</v>
      </c>
      <c r="B101" s="3">
        <v>40</v>
      </c>
      <c r="C101" s="3">
        <v>40</v>
      </c>
      <c r="D101" s="3">
        <v>30</v>
      </c>
      <c r="E101" s="3">
        <v>47</v>
      </c>
      <c r="F101" s="3">
        <v>49</v>
      </c>
      <c r="G101" s="3">
        <v>63</v>
      </c>
      <c r="H101" s="3">
        <v>81</v>
      </c>
      <c r="I101" s="3">
        <v>105</v>
      </c>
      <c r="J101" s="3">
        <v>172</v>
      </c>
      <c r="K101" s="3">
        <v>228</v>
      </c>
      <c r="L101" s="3">
        <v>101</v>
      </c>
      <c r="M101" s="3">
        <v>17276</v>
      </c>
      <c r="N101" s="3">
        <f t="shared" si="2"/>
        <v>584.62607084973365</v>
      </c>
      <c r="P101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9"/>
  <sheetViews>
    <sheetView topLeftCell="I1" zoomScale="130" zoomScaleNormal="130" workbookViewId="0">
      <selection activeCell="P3" sqref="P3"/>
    </sheetView>
  </sheetViews>
  <sheetFormatPr baseColWidth="10" defaultColWidth="8.83203125" defaultRowHeight="15"/>
  <cols>
    <col min="1" max="1" width="29.6640625" bestFit="1" customWidth="1"/>
    <col min="2" max="12" width="14.83203125" bestFit="1" customWidth="1"/>
    <col min="13" max="13" width="16.6640625" bestFit="1" customWidth="1"/>
    <col min="14" max="14" width="21.1640625" bestFit="1" customWidth="1"/>
    <col min="15" max="15" width="16" bestFit="1" customWidth="1"/>
    <col min="16" max="16" width="19.6640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178</v>
      </c>
      <c r="P1" s="7" t="s">
        <v>177</v>
      </c>
    </row>
    <row r="2" spans="1:16">
      <c r="A2" t="s">
        <v>167</v>
      </c>
      <c r="B2">
        <v>309</v>
      </c>
      <c r="C2">
        <v>265</v>
      </c>
      <c r="D2">
        <v>322</v>
      </c>
      <c r="E2">
        <v>325</v>
      </c>
      <c r="F2">
        <v>503</v>
      </c>
      <c r="G2">
        <v>486</v>
      </c>
      <c r="H2">
        <v>405</v>
      </c>
      <c r="I2">
        <v>498</v>
      </c>
      <c r="J2">
        <v>781</v>
      </c>
      <c r="K2">
        <v>837</v>
      </c>
      <c r="L2">
        <v>641</v>
      </c>
      <c r="M2">
        <v>5372</v>
      </c>
      <c r="N2">
        <f>IF(B2=0, "", ((L2 - B2) / B2) * 100)</f>
        <v>107.44336569579286</v>
      </c>
      <c r="O2">
        <v>39266</v>
      </c>
      <c r="P2" s="9">
        <f>L2 / O2 * 100000</f>
        <v>1632.4555595171396</v>
      </c>
    </row>
    <row r="3" spans="1:16">
      <c r="A3" t="s">
        <v>60</v>
      </c>
      <c r="B3">
        <v>64</v>
      </c>
      <c r="C3">
        <v>76</v>
      </c>
      <c r="D3">
        <v>103</v>
      </c>
      <c r="E3">
        <v>71</v>
      </c>
      <c r="F3">
        <v>122</v>
      </c>
      <c r="G3">
        <v>118</v>
      </c>
      <c r="H3">
        <v>102</v>
      </c>
      <c r="I3">
        <v>118</v>
      </c>
      <c r="J3">
        <v>189</v>
      </c>
      <c r="K3">
        <v>294</v>
      </c>
      <c r="L3">
        <v>261</v>
      </c>
      <c r="M3">
        <v>1518</v>
      </c>
      <c r="N3">
        <f>IF(B3=0, "", ((L3 - B3) / B3) * 100)</f>
        <v>307.8125</v>
      </c>
      <c r="O3">
        <v>23394</v>
      </c>
      <c r="P3" s="9">
        <f>L3 / O3 * 100000</f>
        <v>1115.670684790972</v>
      </c>
    </row>
    <row r="4" spans="1:16">
      <c r="A4" t="s">
        <v>32</v>
      </c>
      <c r="B4">
        <v>31</v>
      </c>
      <c r="C4">
        <v>23</v>
      </c>
      <c r="D4">
        <v>16</v>
      </c>
      <c r="E4">
        <v>24</v>
      </c>
      <c r="F4">
        <v>46</v>
      </c>
      <c r="G4">
        <v>54</v>
      </c>
      <c r="H4">
        <v>43</v>
      </c>
      <c r="I4">
        <v>76</v>
      </c>
      <c r="J4">
        <v>132</v>
      </c>
      <c r="K4">
        <v>157</v>
      </c>
      <c r="L4">
        <v>129</v>
      </c>
      <c r="M4">
        <v>731</v>
      </c>
      <c r="N4">
        <f>IF(B4=0, "", ((L4 - B4) / B4) * 100)</f>
        <v>316.12903225806451</v>
      </c>
      <c r="O4">
        <v>12769</v>
      </c>
      <c r="P4" s="9">
        <f>L4 / O4 * 100000</f>
        <v>1010.2592215521967</v>
      </c>
    </row>
    <row r="5" spans="1:16">
      <c r="A5" t="s">
        <v>171</v>
      </c>
      <c r="B5">
        <v>68</v>
      </c>
      <c r="C5">
        <v>41</v>
      </c>
      <c r="D5">
        <v>63</v>
      </c>
      <c r="E5">
        <v>83</v>
      </c>
      <c r="F5">
        <v>111</v>
      </c>
      <c r="G5">
        <v>136</v>
      </c>
      <c r="H5">
        <v>111</v>
      </c>
      <c r="I5">
        <v>139</v>
      </c>
      <c r="J5">
        <v>176</v>
      </c>
      <c r="K5">
        <v>132</v>
      </c>
      <c r="L5">
        <v>114</v>
      </c>
      <c r="M5">
        <v>1174</v>
      </c>
      <c r="N5">
        <f>IF(B5=0, "", ((L5 - B5) / B5) * 100)</f>
        <v>67.64705882352942</v>
      </c>
      <c r="O5">
        <v>12502</v>
      </c>
      <c r="P5" s="9">
        <f>L5 / O5 * 100000</f>
        <v>911.854103343465</v>
      </c>
    </row>
    <row r="6" spans="1:16">
      <c r="A6" t="s">
        <v>135</v>
      </c>
      <c r="B6">
        <v>67</v>
      </c>
      <c r="C6">
        <v>53</v>
      </c>
      <c r="D6">
        <v>41</v>
      </c>
      <c r="E6">
        <v>52</v>
      </c>
      <c r="F6">
        <v>63</v>
      </c>
      <c r="G6">
        <v>62</v>
      </c>
      <c r="H6">
        <v>88</v>
      </c>
      <c r="I6">
        <v>96</v>
      </c>
      <c r="J6">
        <v>196</v>
      </c>
      <c r="K6">
        <v>202</v>
      </c>
      <c r="L6">
        <v>112</v>
      </c>
      <c r="M6">
        <v>1032</v>
      </c>
      <c r="N6">
        <f>IF(B6=0, "", ((L6 - B6) / B6) * 100)</f>
        <v>67.164179104477611</v>
      </c>
      <c r="O6">
        <v>14695</v>
      </c>
      <c r="P6" s="9">
        <f>L6 / O6 * 100000</f>
        <v>762.16400136100708</v>
      </c>
    </row>
    <row r="7" spans="1:16">
      <c r="A7" t="s">
        <v>139</v>
      </c>
      <c r="B7">
        <v>109</v>
      </c>
      <c r="C7">
        <v>101</v>
      </c>
      <c r="D7">
        <v>109</v>
      </c>
      <c r="E7">
        <v>93</v>
      </c>
      <c r="F7">
        <v>90</v>
      </c>
      <c r="G7">
        <v>148</v>
      </c>
      <c r="H7">
        <v>187</v>
      </c>
      <c r="I7">
        <v>174</v>
      </c>
      <c r="J7">
        <v>235</v>
      </c>
      <c r="K7">
        <v>264</v>
      </c>
      <c r="L7">
        <v>225</v>
      </c>
      <c r="M7">
        <v>1735</v>
      </c>
      <c r="N7">
        <f>IF(B7=0, "", ((L7 - B7) / B7) * 100)</f>
        <v>106.42201834862387</v>
      </c>
      <c r="O7">
        <v>34002</v>
      </c>
      <c r="P7" s="9">
        <f>L7 / O7 * 100000</f>
        <v>661.72578083642134</v>
      </c>
    </row>
    <row r="8" spans="1:16">
      <c r="A8" t="s">
        <v>44</v>
      </c>
      <c r="B8">
        <v>17</v>
      </c>
      <c r="C8">
        <v>29</v>
      </c>
      <c r="D8">
        <v>18</v>
      </c>
      <c r="E8">
        <v>33</v>
      </c>
      <c r="F8">
        <v>42</v>
      </c>
      <c r="G8">
        <v>42</v>
      </c>
      <c r="H8">
        <v>63</v>
      </c>
      <c r="I8">
        <v>52</v>
      </c>
      <c r="J8">
        <v>49</v>
      </c>
      <c r="K8">
        <v>125</v>
      </c>
      <c r="L8">
        <v>128</v>
      </c>
      <c r="M8">
        <v>598</v>
      </c>
      <c r="N8" s="8">
        <f>IF(B8=0, "", ((L8 - B8) / B8) * 100)</f>
        <v>652.94117647058818</v>
      </c>
      <c r="O8">
        <v>20666</v>
      </c>
      <c r="P8" s="9">
        <f>L8 / O8 * 100000</f>
        <v>619.3748185425336</v>
      </c>
    </row>
    <row r="9" spans="1:16">
      <c r="A9" t="s">
        <v>22</v>
      </c>
      <c r="B9">
        <v>66</v>
      </c>
      <c r="C9">
        <v>70</v>
      </c>
      <c r="D9">
        <v>51</v>
      </c>
      <c r="E9">
        <v>53</v>
      </c>
      <c r="F9">
        <v>75</v>
      </c>
      <c r="G9">
        <v>92</v>
      </c>
      <c r="H9">
        <v>103</v>
      </c>
      <c r="I9">
        <v>115</v>
      </c>
      <c r="J9">
        <v>106</v>
      </c>
      <c r="K9">
        <v>164</v>
      </c>
      <c r="L9">
        <v>110</v>
      </c>
      <c r="M9">
        <v>1005</v>
      </c>
      <c r="N9">
        <f>IF(B9=0, "", ((L9 - B9) / B9) * 100)</f>
        <v>66.666666666666657</v>
      </c>
      <c r="O9">
        <v>18265</v>
      </c>
      <c r="P9" s="9">
        <f>L9 / O9 * 100000</f>
        <v>602.24473035860944</v>
      </c>
    </row>
    <row r="10" spans="1:16">
      <c r="A10" t="s">
        <v>88</v>
      </c>
      <c r="B10">
        <v>55</v>
      </c>
      <c r="C10">
        <v>35</v>
      </c>
      <c r="D10">
        <v>40</v>
      </c>
      <c r="E10">
        <v>44</v>
      </c>
      <c r="F10">
        <v>55</v>
      </c>
      <c r="G10">
        <v>46</v>
      </c>
      <c r="H10">
        <v>78</v>
      </c>
      <c r="I10">
        <v>60</v>
      </c>
      <c r="J10">
        <v>99</v>
      </c>
      <c r="K10">
        <v>108</v>
      </c>
      <c r="L10">
        <v>90</v>
      </c>
      <c r="M10">
        <v>710</v>
      </c>
      <c r="N10">
        <f>IF(B10=0, "", ((L10 - B10) / B10) * 100)</f>
        <v>63.636363636363633</v>
      </c>
      <c r="O10">
        <v>15152</v>
      </c>
      <c r="P10" s="9">
        <f>L10 / O10 * 100000</f>
        <v>593.98099260823653</v>
      </c>
    </row>
    <row r="11" spans="1:16">
      <c r="A11" t="s">
        <v>127</v>
      </c>
      <c r="B11">
        <v>40</v>
      </c>
      <c r="C11">
        <v>40</v>
      </c>
      <c r="D11">
        <v>30</v>
      </c>
      <c r="E11">
        <v>47</v>
      </c>
      <c r="F11">
        <v>49</v>
      </c>
      <c r="G11">
        <v>63</v>
      </c>
      <c r="H11">
        <v>81</v>
      </c>
      <c r="I11">
        <v>105</v>
      </c>
      <c r="J11">
        <v>172</v>
      </c>
      <c r="K11">
        <v>228</v>
      </c>
      <c r="L11">
        <v>101</v>
      </c>
      <c r="M11">
        <v>956</v>
      </c>
      <c r="N11">
        <f>IF(B11=0, "", ((L11 - B11) / B11) * 100)</f>
        <v>152.5</v>
      </c>
      <c r="O11">
        <v>17276</v>
      </c>
      <c r="P11" s="9">
        <f>L11 / O11 * 100000</f>
        <v>584.62607084973365</v>
      </c>
    </row>
    <row r="12" spans="1:16">
      <c r="A12" t="s">
        <v>140</v>
      </c>
      <c r="B12">
        <v>44</v>
      </c>
      <c r="C12">
        <v>50</v>
      </c>
      <c r="D12">
        <v>64</v>
      </c>
      <c r="E12">
        <v>50</v>
      </c>
      <c r="F12">
        <v>68</v>
      </c>
      <c r="G12">
        <v>83</v>
      </c>
      <c r="H12">
        <v>120</v>
      </c>
      <c r="I12">
        <v>106</v>
      </c>
      <c r="J12">
        <v>155</v>
      </c>
      <c r="K12">
        <v>120</v>
      </c>
      <c r="L12">
        <v>103</v>
      </c>
      <c r="M12">
        <v>963</v>
      </c>
      <c r="N12">
        <f>IF(B12=0, "", ((L12 - B12) / B12) * 100)</f>
        <v>134.09090909090909</v>
      </c>
      <c r="O12">
        <v>18736</v>
      </c>
      <c r="P12" s="9">
        <f>L12 / O12 * 100000</f>
        <v>549.74380871050391</v>
      </c>
    </row>
    <row r="13" spans="1:16">
      <c r="A13" t="s">
        <v>61</v>
      </c>
      <c r="B13">
        <v>27</v>
      </c>
      <c r="C13">
        <v>25</v>
      </c>
      <c r="D13">
        <v>33</v>
      </c>
      <c r="E13">
        <v>24</v>
      </c>
      <c r="F13">
        <v>36</v>
      </c>
      <c r="G13">
        <v>57</v>
      </c>
      <c r="H13">
        <v>50</v>
      </c>
      <c r="I13">
        <v>58</v>
      </c>
      <c r="J13">
        <v>96</v>
      </c>
      <c r="K13">
        <v>174</v>
      </c>
      <c r="L13">
        <v>83</v>
      </c>
      <c r="M13">
        <v>663</v>
      </c>
      <c r="N13">
        <f>IF(B13=0, "", ((L13 - B13) / B13) * 100)</f>
        <v>207.40740740740739</v>
      </c>
      <c r="O13">
        <v>15556</v>
      </c>
      <c r="P13" s="9">
        <f>L13 / O13 * 100000</f>
        <v>533.55618410902548</v>
      </c>
    </row>
    <row r="14" spans="1:16">
      <c r="A14" t="s">
        <v>20</v>
      </c>
      <c r="B14">
        <v>35</v>
      </c>
      <c r="C14">
        <v>37</v>
      </c>
      <c r="D14">
        <v>42</v>
      </c>
      <c r="E14">
        <v>25</v>
      </c>
      <c r="F14">
        <v>39</v>
      </c>
      <c r="G14">
        <v>35</v>
      </c>
      <c r="H14">
        <v>46</v>
      </c>
      <c r="I14">
        <v>76</v>
      </c>
      <c r="J14">
        <v>84</v>
      </c>
      <c r="K14">
        <v>150</v>
      </c>
      <c r="L14">
        <v>123</v>
      </c>
      <c r="M14">
        <v>692</v>
      </c>
      <c r="N14">
        <f>IF(B14=0, "", ((L14 - B14) / B14) * 100)</f>
        <v>251.42857142857142</v>
      </c>
      <c r="O14">
        <v>23284</v>
      </c>
      <c r="P14" s="9">
        <f>L14 / O14 * 100000</f>
        <v>528.25974918398902</v>
      </c>
    </row>
    <row r="15" spans="1:16">
      <c r="A15" t="s">
        <v>82</v>
      </c>
      <c r="B15">
        <v>43</v>
      </c>
      <c r="C15">
        <v>28</v>
      </c>
      <c r="D15">
        <v>47</v>
      </c>
      <c r="E15">
        <v>39</v>
      </c>
      <c r="F15">
        <v>45</v>
      </c>
      <c r="G15">
        <v>70</v>
      </c>
      <c r="H15">
        <v>52</v>
      </c>
      <c r="I15">
        <v>49</v>
      </c>
      <c r="J15">
        <v>72</v>
      </c>
      <c r="K15">
        <v>121</v>
      </c>
      <c r="L15">
        <v>139</v>
      </c>
      <c r="M15">
        <v>705</v>
      </c>
      <c r="N15">
        <f>IF(B15=0, "", ((L15 - B15) / B15) * 100)</f>
        <v>223.25581395348837</v>
      </c>
      <c r="O15">
        <v>27787</v>
      </c>
      <c r="P15" s="9">
        <f>L15 / O15 * 100000</f>
        <v>500.23392233778384</v>
      </c>
    </row>
    <row r="16" spans="1:16">
      <c r="A16" t="s">
        <v>49</v>
      </c>
      <c r="B16">
        <v>19</v>
      </c>
      <c r="C16">
        <v>13</v>
      </c>
      <c r="D16">
        <v>11</v>
      </c>
      <c r="E16">
        <v>18</v>
      </c>
      <c r="F16">
        <v>23</v>
      </c>
      <c r="G16">
        <v>19</v>
      </c>
      <c r="H16">
        <v>19</v>
      </c>
      <c r="I16">
        <v>31</v>
      </c>
      <c r="J16">
        <v>43</v>
      </c>
      <c r="K16">
        <v>62</v>
      </c>
      <c r="L16">
        <v>70</v>
      </c>
      <c r="M16">
        <v>328</v>
      </c>
      <c r="N16">
        <f>IF(B16=0, "", ((L16 - B16) / B16) * 100)</f>
        <v>268.42105263157896</v>
      </c>
      <c r="O16">
        <v>14747</v>
      </c>
      <c r="P16" s="9">
        <f>L16 / O16 * 100000</f>
        <v>474.67281480979182</v>
      </c>
    </row>
    <row r="17" spans="1:16">
      <c r="A17" t="s">
        <v>31</v>
      </c>
      <c r="B17">
        <v>7</v>
      </c>
      <c r="C17">
        <v>18</v>
      </c>
      <c r="D17">
        <v>18</v>
      </c>
      <c r="E17">
        <v>30</v>
      </c>
      <c r="F17">
        <v>26</v>
      </c>
      <c r="G17">
        <v>38</v>
      </c>
      <c r="H17">
        <v>24</v>
      </c>
      <c r="I17">
        <v>22</v>
      </c>
      <c r="J17">
        <v>55</v>
      </c>
      <c r="K17">
        <v>55</v>
      </c>
      <c r="L17">
        <v>64</v>
      </c>
      <c r="M17">
        <v>357</v>
      </c>
      <c r="N17">
        <f>IF(B17=0, "", ((L17 - B17) / B17) * 100)</f>
        <v>814.28571428571422</v>
      </c>
      <c r="O17">
        <v>13685</v>
      </c>
      <c r="P17" s="9">
        <f>L17 / O17 * 100000</f>
        <v>467.66532700036532</v>
      </c>
    </row>
    <row r="18" spans="1:16">
      <c r="A18" t="s">
        <v>83</v>
      </c>
      <c r="B18">
        <v>60</v>
      </c>
      <c r="C18">
        <v>54</v>
      </c>
      <c r="D18">
        <v>44</v>
      </c>
      <c r="E18">
        <v>68</v>
      </c>
      <c r="F18">
        <v>87</v>
      </c>
      <c r="G18">
        <v>99</v>
      </c>
      <c r="H18">
        <v>89</v>
      </c>
      <c r="I18">
        <v>92</v>
      </c>
      <c r="J18">
        <v>130</v>
      </c>
      <c r="K18">
        <v>208</v>
      </c>
      <c r="L18">
        <v>182</v>
      </c>
      <c r="M18">
        <v>1113</v>
      </c>
      <c r="N18">
        <f>IF(B18=0, "", ((L18 - B18) / B18) * 100)</f>
        <v>203.33333333333331</v>
      </c>
      <c r="O18">
        <v>39132</v>
      </c>
      <c r="P18" s="9">
        <f>L18 / O18 * 100000</f>
        <v>465.09250741081468</v>
      </c>
    </row>
    <row r="19" spans="1:16">
      <c r="A19" t="s">
        <v>123</v>
      </c>
      <c r="B19">
        <v>20</v>
      </c>
      <c r="C19">
        <v>12</v>
      </c>
      <c r="D19">
        <v>20</v>
      </c>
      <c r="E19">
        <v>14</v>
      </c>
      <c r="F19">
        <v>11</v>
      </c>
      <c r="G19">
        <v>15</v>
      </c>
      <c r="H19">
        <v>17</v>
      </c>
      <c r="I19">
        <v>40</v>
      </c>
      <c r="J19">
        <v>35</v>
      </c>
      <c r="K19">
        <v>55</v>
      </c>
      <c r="L19">
        <v>85</v>
      </c>
      <c r="M19">
        <v>324</v>
      </c>
      <c r="N19">
        <f>IF(B19=0, "", ((L19 - B19) / B19) * 100)</f>
        <v>325</v>
      </c>
      <c r="O19">
        <v>18331</v>
      </c>
      <c r="P19" s="9">
        <f>L19 / O19 * 100000</f>
        <v>463.69537941192516</v>
      </c>
    </row>
    <row r="20" spans="1:16">
      <c r="A20" t="s">
        <v>43</v>
      </c>
      <c r="B20">
        <v>38</v>
      </c>
      <c r="C20">
        <v>43</v>
      </c>
      <c r="D20">
        <v>35</v>
      </c>
      <c r="E20">
        <v>60</v>
      </c>
      <c r="F20">
        <v>89</v>
      </c>
      <c r="G20">
        <v>85</v>
      </c>
      <c r="H20">
        <v>69</v>
      </c>
      <c r="I20">
        <v>80</v>
      </c>
      <c r="J20">
        <v>107</v>
      </c>
      <c r="K20">
        <v>305</v>
      </c>
      <c r="L20">
        <v>180</v>
      </c>
      <c r="M20">
        <v>1091</v>
      </c>
      <c r="N20">
        <f>IF(B20=0, "", ((L20 - B20) / B20) * 100)</f>
        <v>373.68421052631578</v>
      </c>
      <c r="O20">
        <v>39480</v>
      </c>
      <c r="P20" s="9">
        <f>L20 / O20 * 100000</f>
        <v>455.9270516717325</v>
      </c>
    </row>
    <row r="21" spans="1:16">
      <c r="A21" t="s">
        <v>124</v>
      </c>
      <c r="B21">
        <v>19</v>
      </c>
      <c r="C21">
        <v>20</v>
      </c>
      <c r="D21">
        <v>8</v>
      </c>
      <c r="E21">
        <v>16</v>
      </c>
      <c r="F21">
        <v>27</v>
      </c>
      <c r="G21">
        <v>43</v>
      </c>
      <c r="H21">
        <v>51</v>
      </c>
      <c r="I21">
        <v>36</v>
      </c>
      <c r="J21">
        <v>56</v>
      </c>
      <c r="K21">
        <v>155</v>
      </c>
      <c r="L21">
        <v>91</v>
      </c>
      <c r="M21">
        <v>522</v>
      </c>
      <c r="N21">
        <f>IF(B21=0, "", ((L21 - B21) / B21) * 100)</f>
        <v>378.9473684210526</v>
      </c>
      <c r="O21">
        <v>20571</v>
      </c>
      <c r="P21" s="9">
        <f>L21 / O21 * 100000</f>
        <v>442.37032715959361</v>
      </c>
    </row>
    <row r="22" spans="1:16">
      <c r="A22" t="s">
        <v>99</v>
      </c>
      <c r="B22">
        <v>19</v>
      </c>
      <c r="C22">
        <v>23</v>
      </c>
      <c r="D22">
        <v>27</v>
      </c>
      <c r="E22">
        <v>36</v>
      </c>
      <c r="F22">
        <v>37</v>
      </c>
      <c r="G22">
        <v>38</v>
      </c>
      <c r="H22">
        <v>40</v>
      </c>
      <c r="I22">
        <v>48</v>
      </c>
      <c r="J22">
        <v>77</v>
      </c>
      <c r="K22">
        <v>82</v>
      </c>
      <c r="L22">
        <v>88</v>
      </c>
      <c r="M22">
        <v>515</v>
      </c>
      <c r="N22">
        <f>IF(B22=0, "", ((L22 - B22) / B22) * 100)</f>
        <v>363.15789473684214</v>
      </c>
      <c r="O22">
        <v>19989</v>
      </c>
      <c r="P22" s="9">
        <f>L22 / O22 * 100000</f>
        <v>440.24213317324535</v>
      </c>
    </row>
    <row r="23" spans="1:16">
      <c r="A23" t="s">
        <v>126</v>
      </c>
      <c r="B23">
        <v>18</v>
      </c>
      <c r="C23">
        <v>27</v>
      </c>
      <c r="D23">
        <v>10</v>
      </c>
      <c r="E23">
        <v>16</v>
      </c>
      <c r="F23">
        <v>24</v>
      </c>
      <c r="G23">
        <v>40</v>
      </c>
      <c r="H23">
        <v>33</v>
      </c>
      <c r="I23">
        <v>65</v>
      </c>
      <c r="J23">
        <v>86</v>
      </c>
      <c r="K23">
        <v>138</v>
      </c>
      <c r="L23">
        <v>84</v>
      </c>
      <c r="M23">
        <v>541</v>
      </c>
      <c r="N23">
        <f>IF(B23=0, "", ((L23 - B23) / B23) * 100)</f>
        <v>366.66666666666663</v>
      </c>
      <c r="O23">
        <v>19208</v>
      </c>
      <c r="P23" s="9">
        <f>L23 / O23 * 100000</f>
        <v>437.31778425655978</v>
      </c>
    </row>
    <row r="24" spans="1:16">
      <c r="A24" t="s">
        <v>35</v>
      </c>
      <c r="B24">
        <v>22</v>
      </c>
      <c r="C24">
        <v>19</v>
      </c>
      <c r="D24">
        <v>10</v>
      </c>
      <c r="E24">
        <v>26</v>
      </c>
      <c r="F24">
        <v>33</v>
      </c>
      <c r="G24">
        <v>21</v>
      </c>
      <c r="H24">
        <v>37</v>
      </c>
      <c r="I24">
        <v>51</v>
      </c>
      <c r="J24">
        <v>75</v>
      </c>
      <c r="K24">
        <v>77</v>
      </c>
      <c r="L24">
        <v>62</v>
      </c>
      <c r="M24">
        <v>433</v>
      </c>
      <c r="N24">
        <f>IF(B24=0, "", ((L24 - B24) / B24) * 100)</f>
        <v>181.81818181818181</v>
      </c>
      <c r="O24">
        <v>14433</v>
      </c>
      <c r="P24" s="9">
        <f>L24 / O24 * 100000</f>
        <v>429.57112173491305</v>
      </c>
    </row>
    <row r="25" spans="1:16">
      <c r="A25" t="s">
        <v>90</v>
      </c>
      <c r="B25">
        <v>48</v>
      </c>
      <c r="C25">
        <v>41</v>
      </c>
      <c r="D25">
        <v>33</v>
      </c>
      <c r="E25">
        <v>50</v>
      </c>
      <c r="F25">
        <v>52</v>
      </c>
      <c r="G25">
        <v>38</v>
      </c>
      <c r="H25">
        <v>62</v>
      </c>
      <c r="I25">
        <v>47</v>
      </c>
      <c r="J25">
        <v>62</v>
      </c>
      <c r="K25">
        <v>77</v>
      </c>
      <c r="L25">
        <v>57</v>
      </c>
      <c r="M25">
        <v>567</v>
      </c>
      <c r="N25">
        <f>IF(B25=0, "", ((L25 - B25) / B25) * 100)</f>
        <v>18.75</v>
      </c>
      <c r="O25">
        <v>13585</v>
      </c>
      <c r="P25" s="9">
        <f>L25 / O25 * 100000</f>
        <v>419.58041958041957</v>
      </c>
    </row>
    <row r="26" spans="1:16">
      <c r="A26" t="s">
        <v>130</v>
      </c>
      <c r="B26">
        <v>49</v>
      </c>
      <c r="C26">
        <v>24</v>
      </c>
      <c r="D26">
        <v>45</v>
      </c>
      <c r="E26">
        <v>34</v>
      </c>
      <c r="F26">
        <v>51</v>
      </c>
      <c r="G26">
        <v>60</v>
      </c>
      <c r="H26">
        <v>61</v>
      </c>
      <c r="I26">
        <v>96</v>
      </c>
      <c r="J26">
        <v>173</v>
      </c>
      <c r="K26">
        <v>218</v>
      </c>
      <c r="L26">
        <v>112</v>
      </c>
      <c r="M26">
        <v>923</v>
      </c>
      <c r="N26">
        <f>IF(B26=0, "", ((L26 - B26) / B26) * 100)</f>
        <v>128.57142857142858</v>
      </c>
      <c r="O26">
        <v>28216</v>
      </c>
      <c r="P26" s="9">
        <f>L26 / O26 * 100000</f>
        <v>396.93790757017297</v>
      </c>
    </row>
    <row r="27" spans="1:16">
      <c r="A27" t="s">
        <v>120</v>
      </c>
      <c r="B27">
        <v>48</v>
      </c>
      <c r="C27">
        <v>29</v>
      </c>
      <c r="D27">
        <v>27</v>
      </c>
      <c r="E27">
        <v>28</v>
      </c>
      <c r="F27">
        <v>27</v>
      </c>
      <c r="G27">
        <v>22</v>
      </c>
      <c r="H27">
        <v>35</v>
      </c>
      <c r="I27">
        <v>34</v>
      </c>
      <c r="J27">
        <v>70</v>
      </c>
      <c r="K27">
        <v>163</v>
      </c>
      <c r="L27">
        <v>132</v>
      </c>
      <c r="M27">
        <v>615</v>
      </c>
      <c r="N27">
        <f>IF(B27=0, "", ((L27 - B27) / B27) * 100)</f>
        <v>175</v>
      </c>
      <c r="O27">
        <v>33271</v>
      </c>
      <c r="P27" s="9">
        <f>L27 / O27 * 100000</f>
        <v>396.74190736677582</v>
      </c>
    </row>
    <row r="28" spans="1:16">
      <c r="A28" t="s">
        <v>30</v>
      </c>
      <c r="B28">
        <v>18</v>
      </c>
      <c r="C28">
        <v>13</v>
      </c>
      <c r="D28">
        <v>18</v>
      </c>
      <c r="E28">
        <v>27</v>
      </c>
      <c r="F28">
        <v>35</v>
      </c>
      <c r="G28">
        <v>40</v>
      </c>
      <c r="H28">
        <v>42</v>
      </c>
      <c r="I28">
        <v>43</v>
      </c>
      <c r="J28">
        <v>45</v>
      </c>
      <c r="K28">
        <v>65</v>
      </c>
      <c r="L28">
        <v>77</v>
      </c>
      <c r="M28">
        <v>423</v>
      </c>
      <c r="N28">
        <f>IF(B28=0, "", ((L28 - B28) / B28) * 100)</f>
        <v>327.77777777777777</v>
      </c>
      <c r="O28">
        <v>20322</v>
      </c>
      <c r="P28" s="9">
        <f>L28 / O28 * 100000</f>
        <v>378.89971459502016</v>
      </c>
    </row>
    <row r="29" spans="1:16">
      <c r="A29" t="s">
        <v>37</v>
      </c>
      <c r="B29">
        <v>20</v>
      </c>
      <c r="C29">
        <v>15</v>
      </c>
      <c r="D29">
        <v>9</v>
      </c>
      <c r="E29">
        <v>21</v>
      </c>
      <c r="F29">
        <v>20</v>
      </c>
      <c r="G29">
        <v>20</v>
      </c>
      <c r="H29">
        <v>23</v>
      </c>
      <c r="I29">
        <v>26</v>
      </c>
      <c r="J29">
        <v>25</v>
      </c>
      <c r="K29">
        <v>46</v>
      </c>
      <c r="L29">
        <v>64</v>
      </c>
      <c r="M29">
        <v>289</v>
      </c>
      <c r="N29">
        <f>IF(B29=0, "", ((L29 - B29) / B29) * 100)</f>
        <v>220.00000000000003</v>
      </c>
      <c r="O29">
        <v>17051</v>
      </c>
      <c r="P29" s="9">
        <f>L29 / O29 * 100000</f>
        <v>375.34455457157941</v>
      </c>
    </row>
    <row r="30" spans="1:16">
      <c r="A30" t="s">
        <v>104</v>
      </c>
      <c r="B30">
        <v>16</v>
      </c>
      <c r="C30">
        <v>17</v>
      </c>
      <c r="D30">
        <v>12</v>
      </c>
      <c r="E30">
        <v>13</v>
      </c>
      <c r="F30">
        <v>19</v>
      </c>
      <c r="G30">
        <v>27</v>
      </c>
      <c r="H30">
        <v>28</v>
      </c>
      <c r="I30">
        <v>18</v>
      </c>
      <c r="J30">
        <v>23</v>
      </c>
      <c r="K30">
        <v>30</v>
      </c>
      <c r="L30">
        <v>45</v>
      </c>
      <c r="M30">
        <v>248</v>
      </c>
      <c r="N30">
        <f>IF(B30=0, "", ((L30 - B30) / B30) * 100)</f>
        <v>181.25</v>
      </c>
      <c r="O30">
        <v>12161</v>
      </c>
      <c r="P30" s="9">
        <f>L30 / O30 * 100000</f>
        <v>370.03535893429813</v>
      </c>
    </row>
    <row r="31" spans="1:16">
      <c r="A31" t="s">
        <v>46</v>
      </c>
      <c r="B31">
        <v>51</v>
      </c>
      <c r="C31">
        <v>42</v>
      </c>
      <c r="D31">
        <v>44</v>
      </c>
      <c r="E31">
        <v>41</v>
      </c>
      <c r="F31">
        <v>82</v>
      </c>
      <c r="G31">
        <v>61</v>
      </c>
      <c r="H31">
        <v>73</v>
      </c>
      <c r="I31">
        <v>49</v>
      </c>
      <c r="J31">
        <v>69</v>
      </c>
      <c r="K31">
        <v>100</v>
      </c>
      <c r="L31">
        <v>114</v>
      </c>
      <c r="M31">
        <v>726</v>
      </c>
      <c r="N31">
        <f>IF(B31=0, "", ((L31 - B31) / B31) * 100)</f>
        <v>123.52941176470588</v>
      </c>
      <c r="O31">
        <v>30942</v>
      </c>
      <c r="P31" s="9">
        <f>L31 / O31 * 100000</f>
        <v>368.4312584836145</v>
      </c>
    </row>
    <row r="32" spans="1:16">
      <c r="A32" t="s">
        <v>157</v>
      </c>
      <c r="B32">
        <v>28</v>
      </c>
      <c r="C32">
        <v>24</v>
      </c>
      <c r="D32">
        <v>30</v>
      </c>
      <c r="E32">
        <v>29</v>
      </c>
      <c r="F32">
        <v>28</v>
      </c>
      <c r="G32">
        <v>41</v>
      </c>
      <c r="H32">
        <v>51</v>
      </c>
      <c r="I32">
        <v>66</v>
      </c>
      <c r="J32">
        <v>91</v>
      </c>
      <c r="K32">
        <v>120</v>
      </c>
      <c r="L32">
        <v>95</v>
      </c>
      <c r="M32">
        <v>603</v>
      </c>
      <c r="N32">
        <f>IF(B32=0, "", ((L32 - B32) / B32) * 100)</f>
        <v>239.28571428571428</v>
      </c>
      <c r="O32">
        <v>26039</v>
      </c>
      <c r="P32" s="9">
        <f>L32 / O32 * 100000</f>
        <v>364.83735934559701</v>
      </c>
    </row>
    <row r="33" spans="1:16">
      <c r="A33" t="s">
        <v>132</v>
      </c>
      <c r="B33">
        <v>37</v>
      </c>
      <c r="C33">
        <v>23</v>
      </c>
      <c r="D33">
        <v>25</v>
      </c>
      <c r="E33">
        <v>25</v>
      </c>
      <c r="F33">
        <v>38</v>
      </c>
      <c r="G33">
        <v>25</v>
      </c>
      <c r="H33">
        <v>46</v>
      </c>
      <c r="I33">
        <v>44</v>
      </c>
      <c r="J33">
        <v>78</v>
      </c>
      <c r="K33">
        <v>76</v>
      </c>
      <c r="L33">
        <v>53</v>
      </c>
      <c r="M33">
        <v>470</v>
      </c>
      <c r="N33">
        <f>IF(B33=0, "", ((L33 - B33) / B33) * 100)</f>
        <v>43.243243243243242</v>
      </c>
      <c r="O33">
        <v>14568</v>
      </c>
      <c r="P33" s="9">
        <f>L33 / O33 * 100000</f>
        <v>363.8110928061505</v>
      </c>
    </row>
    <row r="34" spans="1:16">
      <c r="A34" t="s">
        <v>38</v>
      </c>
      <c r="B34">
        <v>19</v>
      </c>
      <c r="C34">
        <v>21</v>
      </c>
      <c r="D34">
        <v>21</v>
      </c>
      <c r="E34">
        <v>30</v>
      </c>
      <c r="F34">
        <v>13</v>
      </c>
      <c r="G34">
        <v>27</v>
      </c>
      <c r="H34">
        <v>33</v>
      </c>
      <c r="I34">
        <v>42</v>
      </c>
      <c r="J34">
        <v>45</v>
      </c>
      <c r="K34">
        <v>51</v>
      </c>
      <c r="L34">
        <v>67</v>
      </c>
      <c r="M34">
        <v>369</v>
      </c>
      <c r="N34">
        <f>IF(B34=0, "", ((L34 - B34) / B34) * 100)</f>
        <v>252.63157894736841</v>
      </c>
      <c r="O34">
        <v>18420</v>
      </c>
      <c r="P34" s="9">
        <f>L34 / O34 * 100000</f>
        <v>363.73507057546146</v>
      </c>
    </row>
    <row r="35" spans="1:16">
      <c r="A35" t="s">
        <v>162</v>
      </c>
      <c r="B35">
        <v>57</v>
      </c>
      <c r="C35">
        <v>50</v>
      </c>
      <c r="D35">
        <v>42</v>
      </c>
      <c r="E35">
        <v>37</v>
      </c>
      <c r="F35">
        <v>55</v>
      </c>
      <c r="G35">
        <v>40</v>
      </c>
      <c r="H35">
        <v>61</v>
      </c>
      <c r="I35">
        <v>84</v>
      </c>
      <c r="J35">
        <v>121</v>
      </c>
      <c r="K35">
        <v>115</v>
      </c>
      <c r="L35">
        <v>75</v>
      </c>
      <c r="M35">
        <v>737</v>
      </c>
      <c r="N35">
        <f>IF(B35=0, "", ((L35 - B35) / B35) * 100)</f>
        <v>31.578947368421051</v>
      </c>
      <c r="O35">
        <v>21762</v>
      </c>
      <c r="P35" s="9">
        <f>L35 / O35 * 100000</f>
        <v>344.63744141163494</v>
      </c>
    </row>
    <row r="36" spans="1:16">
      <c r="A36" t="s">
        <v>107</v>
      </c>
      <c r="B36">
        <v>20</v>
      </c>
      <c r="C36">
        <v>14</v>
      </c>
      <c r="D36">
        <v>23</v>
      </c>
      <c r="E36">
        <v>25</v>
      </c>
      <c r="F36">
        <v>31</v>
      </c>
      <c r="G36">
        <v>21</v>
      </c>
      <c r="H36">
        <v>28</v>
      </c>
      <c r="I36">
        <v>39</v>
      </c>
      <c r="J36">
        <v>41</v>
      </c>
      <c r="K36">
        <v>51</v>
      </c>
      <c r="L36">
        <v>44</v>
      </c>
      <c r="M36">
        <v>337</v>
      </c>
      <c r="N36">
        <f>IF(B36=0, "", ((L36 - B36) / B36) * 100)</f>
        <v>120</v>
      </c>
      <c r="O36">
        <v>12995</v>
      </c>
      <c r="P36" s="9">
        <f>L36 / O36 * 100000</f>
        <v>338.59176606387075</v>
      </c>
    </row>
    <row r="37" spans="1:16">
      <c r="A37" t="s">
        <v>133</v>
      </c>
      <c r="B37">
        <v>70</v>
      </c>
      <c r="C37">
        <v>29</v>
      </c>
      <c r="D37">
        <v>50</v>
      </c>
      <c r="E37">
        <v>27</v>
      </c>
      <c r="F37">
        <v>40</v>
      </c>
      <c r="G37">
        <v>43</v>
      </c>
      <c r="H37">
        <v>43</v>
      </c>
      <c r="I37">
        <v>90</v>
      </c>
      <c r="J37">
        <v>163</v>
      </c>
      <c r="K37">
        <v>154</v>
      </c>
      <c r="L37">
        <v>111</v>
      </c>
      <c r="M37">
        <v>820</v>
      </c>
      <c r="N37">
        <f>IF(B37=0, "", ((L37 - B37) / B37) * 100)</f>
        <v>58.571428571428577</v>
      </c>
      <c r="O37">
        <v>33847</v>
      </c>
      <c r="P37" s="9">
        <f>L37 / O37 * 100000</f>
        <v>327.94634679587557</v>
      </c>
    </row>
    <row r="38" spans="1:16">
      <c r="A38" t="s">
        <v>73</v>
      </c>
      <c r="B38">
        <v>10</v>
      </c>
      <c r="C38">
        <v>27</v>
      </c>
      <c r="D38">
        <v>12</v>
      </c>
      <c r="E38">
        <v>7</v>
      </c>
      <c r="F38">
        <v>31</v>
      </c>
      <c r="G38">
        <v>34</v>
      </c>
      <c r="H38">
        <v>52</v>
      </c>
      <c r="I38">
        <v>73</v>
      </c>
      <c r="J38">
        <v>111</v>
      </c>
      <c r="K38">
        <v>144</v>
      </c>
      <c r="L38">
        <v>74</v>
      </c>
      <c r="M38">
        <v>575</v>
      </c>
      <c r="N38">
        <f>IF(B38=0, "", ((L38 - B38) / B38) * 100)</f>
        <v>640</v>
      </c>
      <c r="O38">
        <v>23016</v>
      </c>
      <c r="P38" s="9">
        <f>L38 / O38 * 100000</f>
        <v>321.51546750086897</v>
      </c>
    </row>
    <row r="39" spans="1:16">
      <c r="A39" t="s">
        <v>166</v>
      </c>
      <c r="B39">
        <v>62</v>
      </c>
      <c r="C39">
        <v>58</v>
      </c>
      <c r="D39">
        <v>43</v>
      </c>
      <c r="E39">
        <v>50</v>
      </c>
      <c r="F39">
        <v>76</v>
      </c>
      <c r="G39">
        <v>88</v>
      </c>
      <c r="H39">
        <v>87</v>
      </c>
      <c r="I39">
        <v>77</v>
      </c>
      <c r="J39">
        <v>119</v>
      </c>
      <c r="K39">
        <v>151</v>
      </c>
      <c r="L39">
        <v>82</v>
      </c>
      <c r="M39">
        <v>893</v>
      </c>
      <c r="N39">
        <f>IF(B39=0, "", ((L39 - B39) / B39) * 100)</f>
        <v>32.258064516129032</v>
      </c>
      <c r="O39">
        <v>25773</v>
      </c>
      <c r="P39" s="9">
        <f>L39 / O39 * 100000</f>
        <v>318.16241803437708</v>
      </c>
    </row>
    <row r="40" spans="1:16">
      <c r="A40" t="s">
        <v>170</v>
      </c>
      <c r="B40">
        <v>37</v>
      </c>
      <c r="C40">
        <v>34</v>
      </c>
      <c r="D40">
        <v>47</v>
      </c>
      <c r="E40">
        <v>58</v>
      </c>
      <c r="F40">
        <v>54</v>
      </c>
      <c r="G40">
        <v>68</v>
      </c>
      <c r="H40">
        <v>75</v>
      </c>
      <c r="I40">
        <v>57</v>
      </c>
      <c r="J40">
        <v>105</v>
      </c>
      <c r="K40">
        <v>122</v>
      </c>
      <c r="L40">
        <v>113</v>
      </c>
      <c r="M40">
        <v>770</v>
      </c>
      <c r="N40">
        <f>IF(B40=0, "", ((L40 - B40) / B40) * 100)</f>
        <v>205.40540540540539</v>
      </c>
      <c r="O40">
        <v>35769</v>
      </c>
      <c r="P40" s="9">
        <f>L40 / O40 * 100000</f>
        <v>315.91601666247306</v>
      </c>
    </row>
    <row r="41" spans="1:16">
      <c r="A41" t="s">
        <v>39</v>
      </c>
      <c r="B41">
        <v>22</v>
      </c>
      <c r="C41">
        <v>18</v>
      </c>
      <c r="D41">
        <v>15</v>
      </c>
      <c r="E41">
        <v>31</v>
      </c>
      <c r="F41">
        <v>27</v>
      </c>
      <c r="G41">
        <v>46</v>
      </c>
      <c r="H41">
        <v>55</v>
      </c>
      <c r="I41">
        <v>75</v>
      </c>
      <c r="J41">
        <v>60</v>
      </c>
      <c r="K41">
        <v>81</v>
      </c>
      <c r="L41">
        <v>91</v>
      </c>
      <c r="M41">
        <v>521</v>
      </c>
      <c r="N41">
        <f>IF(B41=0, "", ((L41 - B41) / B41) * 100)</f>
        <v>313.63636363636363</v>
      </c>
      <c r="O41">
        <v>29568</v>
      </c>
      <c r="P41" s="9">
        <f>L41 / O41 * 100000</f>
        <v>307.7651515151515</v>
      </c>
    </row>
    <row r="42" spans="1:16">
      <c r="A42" t="s">
        <v>144</v>
      </c>
      <c r="B42">
        <v>22</v>
      </c>
      <c r="C42">
        <v>12</v>
      </c>
      <c r="D42">
        <v>7</v>
      </c>
      <c r="E42">
        <v>10</v>
      </c>
      <c r="F42">
        <v>19</v>
      </c>
      <c r="G42">
        <v>29</v>
      </c>
      <c r="H42">
        <v>20</v>
      </c>
      <c r="I42">
        <v>43</v>
      </c>
      <c r="J42">
        <v>42</v>
      </c>
      <c r="K42">
        <v>61</v>
      </c>
      <c r="L42">
        <v>55</v>
      </c>
      <c r="M42">
        <v>320</v>
      </c>
      <c r="N42">
        <f>IF(B42=0, "", ((L42 - B42) / B42) * 100)</f>
        <v>150</v>
      </c>
      <c r="O42">
        <v>17892</v>
      </c>
      <c r="P42" s="9">
        <f>L42 / O42 * 100000</f>
        <v>307.39995528727923</v>
      </c>
    </row>
    <row r="43" spans="1:16">
      <c r="A43" t="s">
        <v>163</v>
      </c>
      <c r="B43">
        <v>7</v>
      </c>
      <c r="C43">
        <v>19</v>
      </c>
      <c r="D43">
        <v>16</v>
      </c>
      <c r="E43">
        <v>12</v>
      </c>
      <c r="F43">
        <v>33</v>
      </c>
      <c r="G43">
        <v>28</v>
      </c>
      <c r="H43">
        <v>42</v>
      </c>
      <c r="I43">
        <v>51</v>
      </c>
      <c r="J43">
        <v>60</v>
      </c>
      <c r="K43">
        <v>39</v>
      </c>
      <c r="L43">
        <v>52</v>
      </c>
      <c r="M43">
        <v>359</v>
      </c>
      <c r="N43">
        <f>IF(B43=0, "", ((L43 - B43) / B43) * 100)</f>
        <v>642.85714285714289</v>
      </c>
      <c r="O43">
        <v>17056</v>
      </c>
      <c r="P43" s="9">
        <f>L43 / O43 * 100000</f>
        <v>304.8780487804878</v>
      </c>
    </row>
    <row r="44" spans="1:16">
      <c r="A44" t="s">
        <v>155</v>
      </c>
      <c r="B44">
        <v>11</v>
      </c>
      <c r="C44">
        <v>14</v>
      </c>
      <c r="D44">
        <v>15</v>
      </c>
      <c r="E44">
        <v>9</v>
      </c>
      <c r="F44">
        <v>8</v>
      </c>
      <c r="G44">
        <v>12</v>
      </c>
      <c r="H44">
        <v>10</v>
      </c>
      <c r="I44">
        <v>17</v>
      </c>
      <c r="J44">
        <v>31</v>
      </c>
      <c r="K44">
        <v>65</v>
      </c>
      <c r="L44">
        <v>44</v>
      </c>
      <c r="M44">
        <v>236</v>
      </c>
      <c r="N44">
        <f>IF(B44=0, "", ((L44 - B44) / B44) * 100)</f>
        <v>300</v>
      </c>
      <c r="O44">
        <v>14454</v>
      </c>
      <c r="P44" s="9">
        <f>L44 / O44 * 100000</f>
        <v>304.41400304414003</v>
      </c>
    </row>
    <row r="45" spans="1:16">
      <c r="A45" t="s">
        <v>26</v>
      </c>
      <c r="B45">
        <v>19</v>
      </c>
      <c r="C45">
        <v>16</v>
      </c>
      <c r="D45">
        <v>17</v>
      </c>
      <c r="E45">
        <v>29</v>
      </c>
      <c r="F45">
        <v>10</v>
      </c>
      <c r="G45">
        <v>21</v>
      </c>
      <c r="H45">
        <v>21</v>
      </c>
      <c r="I45">
        <v>33</v>
      </c>
      <c r="J45">
        <v>37</v>
      </c>
      <c r="K45">
        <v>40</v>
      </c>
      <c r="L45">
        <v>78</v>
      </c>
      <c r="M45">
        <v>321</v>
      </c>
      <c r="N45">
        <f>IF(B45=0, "", ((L45 - B45) / B45) * 100)</f>
        <v>310.5263157894737</v>
      </c>
      <c r="O45">
        <v>26423</v>
      </c>
      <c r="P45" s="9">
        <f>L45 / O45 * 100000</f>
        <v>295.19736593119632</v>
      </c>
    </row>
    <row r="46" spans="1:16">
      <c r="A46" t="s">
        <v>147</v>
      </c>
      <c r="B46">
        <v>15</v>
      </c>
      <c r="C46">
        <v>9</v>
      </c>
      <c r="D46">
        <v>9</v>
      </c>
      <c r="E46">
        <v>11</v>
      </c>
      <c r="F46">
        <v>14</v>
      </c>
      <c r="G46">
        <v>33</v>
      </c>
      <c r="H46">
        <v>44</v>
      </c>
      <c r="I46">
        <v>46</v>
      </c>
      <c r="J46">
        <v>62</v>
      </c>
      <c r="K46">
        <v>76</v>
      </c>
      <c r="L46">
        <v>53</v>
      </c>
      <c r="M46">
        <v>372</v>
      </c>
      <c r="N46">
        <f>IF(B46=0, "", ((L46 - B46) / B46) * 100)</f>
        <v>253.33333333333331</v>
      </c>
      <c r="O46">
        <v>18184</v>
      </c>
      <c r="P46" s="9">
        <f>L46 / O46 * 100000</f>
        <v>291.46502419709634</v>
      </c>
    </row>
    <row r="47" spans="1:16">
      <c r="A47" t="s">
        <v>131</v>
      </c>
      <c r="B47">
        <v>29</v>
      </c>
      <c r="C47">
        <v>19</v>
      </c>
      <c r="D47">
        <v>24</v>
      </c>
      <c r="E47">
        <v>18</v>
      </c>
      <c r="F47">
        <v>35</v>
      </c>
      <c r="G47">
        <v>34</v>
      </c>
      <c r="H47">
        <v>49</v>
      </c>
      <c r="I47">
        <v>61</v>
      </c>
      <c r="J47">
        <v>84</v>
      </c>
      <c r="K47">
        <v>84</v>
      </c>
      <c r="L47">
        <v>58</v>
      </c>
      <c r="M47">
        <v>495</v>
      </c>
      <c r="N47">
        <f>IF(B47=0, "", ((L47 - B47) / B47) * 100)</f>
        <v>100</v>
      </c>
      <c r="O47">
        <v>20006</v>
      </c>
      <c r="P47" s="9">
        <f>L47 / O47 * 100000</f>
        <v>289.91302609217234</v>
      </c>
    </row>
    <row r="48" spans="1:16">
      <c r="A48" t="s">
        <v>142</v>
      </c>
      <c r="B48">
        <v>12</v>
      </c>
      <c r="C48">
        <v>14</v>
      </c>
      <c r="D48">
        <v>4</v>
      </c>
      <c r="E48">
        <v>4</v>
      </c>
      <c r="F48">
        <v>41</v>
      </c>
      <c r="G48">
        <v>31</v>
      </c>
      <c r="H48">
        <v>43</v>
      </c>
      <c r="I48">
        <v>86</v>
      </c>
      <c r="J48">
        <v>79</v>
      </c>
      <c r="K48">
        <v>113</v>
      </c>
      <c r="L48">
        <v>75</v>
      </c>
      <c r="M48">
        <v>502</v>
      </c>
      <c r="N48">
        <f>IF(B48=0, "", ((L48 - B48) / B48) * 100)</f>
        <v>525</v>
      </c>
      <c r="O48">
        <v>25986</v>
      </c>
      <c r="P48" s="9">
        <f>L48 / O48 * 100000</f>
        <v>288.61694758716231</v>
      </c>
    </row>
    <row r="49" spans="1:16">
      <c r="A49" t="s">
        <v>16</v>
      </c>
      <c r="B49">
        <v>10</v>
      </c>
      <c r="C49">
        <v>13</v>
      </c>
      <c r="D49">
        <v>18</v>
      </c>
      <c r="E49">
        <v>15</v>
      </c>
      <c r="F49">
        <v>12</v>
      </c>
      <c r="G49">
        <v>13</v>
      </c>
      <c r="H49">
        <v>24</v>
      </c>
      <c r="I49">
        <v>10</v>
      </c>
      <c r="J49">
        <v>25</v>
      </c>
      <c r="K49">
        <v>27</v>
      </c>
      <c r="L49">
        <v>36</v>
      </c>
      <c r="M49">
        <v>203</v>
      </c>
      <c r="N49">
        <f>IF(B49=0, "", ((L49 - B49) / B49) * 100)</f>
        <v>260</v>
      </c>
      <c r="O49">
        <v>12860</v>
      </c>
      <c r="P49" s="9">
        <f>L49 / O49 * 100000</f>
        <v>279.93779160186625</v>
      </c>
    </row>
    <row r="50" spans="1:16">
      <c r="A50" t="s">
        <v>27</v>
      </c>
      <c r="B50">
        <v>16</v>
      </c>
      <c r="C50">
        <v>18</v>
      </c>
      <c r="D50">
        <v>11</v>
      </c>
      <c r="E50">
        <v>17</v>
      </c>
      <c r="F50">
        <v>9</v>
      </c>
      <c r="G50">
        <v>8</v>
      </c>
      <c r="H50">
        <v>23</v>
      </c>
      <c r="I50">
        <v>20</v>
      </c>
      <c r="J50">
        <v>37</v>
      </c>
      <c r="K50">
        <v>57</v>
      </c>
      <c r="L50">
        <v>63</v>
      </c>
      <c r="M50">
        <v>279</v>
      </c>
      <c r="N50">
        <f>IF(B50=0, "", ((L50 - B50) / B50) * 100)</f>
        <v>293.75</v>
      </c>
      <c r="O50">
        <v>23363</v>
      </c>
      <c r="P50" s="9">
        <f>L50 / O50 * 100000</f>
        <v>269.65715019475238</v>
      </c>
    </row>
    <row r="51" spans="1:16">
      <c r="A51" t="s">
        <v>59</v>
      </c>
      <c r="B51">
        <v>28</v>
      </c>
      <c r="C51">
        <v>26</v>
      </c>
      <c r="D51">
        <v>28</v>
      </c>
      <c r="E51">
        <v>22</v>
      </c>
      <c r="F51">
        <v>13</v>
      </c>
      <c r="G51">
        <v>40</v>
      </c>
      <c r="H51">
        <v>32</v>
      </c>
      <c r="I51">
        <v>32</v>
      </c>
      <c r="J51">
        <v>63</v>
      </c>
      <c r="K51">
        <v>70</v>
      </c>
      <c r="L51">
        <v>78</v>
      </c>
      <c r="M51">
        <v>432</v>
      </c>
      <c r="N51">
        <f>IF(B51=0, "", ((L51 - B51) / B51) * 100)</f>
        <v>178.57142857142858</v>
      </c>
      <c r="O51">
        <v>29912</v>
      </c>
      <c r="P51" s="9">
        <f>L51 / O51 * 100000</f>
        <v>260.76491040385133</v>
      </c>
    </row>
    <row r="52" spans="1:16">
      <c r="A52" t="s">
        <v>17</v>
      </c>
      <c r="B52">
        <v>21</v>
      </c>
      <c r="C52">
        <v>17</v>
      </c>
      <c r="D52">
        <v>12</v>
      </c>
      <c r="E52">
        <v>18</v>
      </c>
      <c r="F52">
        <v>32</v>
      </c>
      <c r="G52">
        <v>25</v>
      </c>
      <c r="H52">
        <v>44</v>
      </c>
      <c r="I52">
        <v>34</v>
      </c>
      <c r="J52">
        <v>47</v>
      </c>
      <c r="K52">
        <v>35</v>
      </c>
      <c r="L52">
        <v>45</v>
      </c>
      <c r="M52">
        <v>330</v>
      </c>
      <c r="N52">
        <f>IF(B52=0, "", ((L52 - B52) / B52) * 100)</f>
        <v>114.28571428571428</v>
      </c>
      <c r="O52">
        <v>17390</v>
      </c>
      <c r="P52" s="9">
        <f>L52 / O52 * 100000</f>
        <v>258.76940770557792</v>
      </c>
    </row>
    <row r="53" spans="1:16">
      <c r="A53" t="s">
        <v>153</v>
      </c>
      <c r="B53">
        <v>38</v>
      </c>
      <c r="C53">
        <v>31</v>
      </c>
      <c r="D53">
        <v>14</v>
      </c>
      <c r="E53">
        <v>34</v>
      </c>
      <c r="F53">
        <v>33</v>
      </c>
      <c r="G53">
        <v>35</v>
      </c>
      <c r="H53">
        <v>50</v>
      </c>
      <c r="I53">
        <v>70</v>
      </c>
      <c r="J53">
        <v>142</v>
      </c>
      <c r="K53">
        <v>149</v>
      </c>
      <c r="L53">
        <v>80</v>
      </c>
      <c r="M53">
        <v>676</v>
      </c>
      <c r="N53">
        <f>IF(B53=0, "", ((L53 - B53) / B53) * 100)</f>
        <v>110.5263157894737</v>
      </c>
      <c r="O53">
        <v>31488</v>
      </c>
      <c r="P53" s="9">
        <f>L53 / O53 * 100000</f>
        <v>254.0650406504065</v>
      </c>
    </row>
    <row r="54" spans="1:16">
      <c r="A54" t="s">
        <v>84</v>
      </c>
      <c r="B54">
        <v>23</v>
      </c>
      <c r="C54">
        <v>19</v>
      </c>
      <c r="D54">
        <v>21</v>
      </c>
      <c r="E54">
        <v>18</v>
      </c>
      <c r="F54">
        <v>31</v>
      </c>
      <c r="G54">
        <v>24</v>
      </c>
      <c r="H54">
        <v>38</v>
      </c>
      <c r="I54">
        <v>59</v>
      </c>
      <c r="J54">
        <v>78</v>
      </c>
      <c r="K54">
        <v>103</v>
      </c>
      <c r="L54">
        <v>73</v>
      </c>
      <c r="M54">
        <v>487</v>
      </c>
      <c r="N54">
        <f>IF(B54=0, "", ((L54 - B54) / B54) * 100)</f>
        <v>217.39130434782606</v>
      </c>
      <c r="O54">
        <v>29159</v>
      </c>
      <c r="P54" s="9">
        <f>L54 / O54 * 100000</f>
        <v>250.35152097122671</v>
      </c>
    </row>
    <row r="55" spans="1:16">
      <c r="A55" t="s">
        <v>150</v>
      </c>
      <c r="B55">
        <v>9</v>
      </c>
      <c r="C55">
        <v>18</v>
      </c>
      <c r="D55">
        <v>17</v>
      </c>
      <c r="E55">
        <v>16</v>
      </c>
      <c r="F55">
        <v>24</v>
      </c>
      <c r="G55">
        <v>15</v>
      </c>
      <c r="H55">
        <v>28</v>
      </c>
      <c r="I55">
        <v>31</v>
      </c>
      <c r="J55">
        <v>69</v>
      </c>
      <c r="K55">
        <v>50</v>
      </c>
      <c r="L55">
        <v>51</v>
      </c>
      <c r="M55">
        <v>328</v>
      </c>
      <c r="N55">
        <f>IF(B55=0, "", ((L55 - B55) / B55) * 100)</f>
        <v>466.66666666666669</v>
      </c>
      <c r="O55">
        <v>20392</v>
      </c>
      <c r="P55" s="9">
        <f>L55 / O55 * 100000</f>
        <v>250.09807767752062</v>
      </c>
    </row>
    <row r="56" spans="1:16">
      <c r="A56" t="s">
        <v>24</v>
      </c>
      <c r="B56">
        <v>17</v>
      </c>
      <c r="C56">
        <v>19</v>
      </c>
      <c r="D56">
        <v>32</v>
      </c>
      <c r="E56">
        <v>14</v>
      </c>
      <c r="F56">
        <v>14</v>
      </c>
      <c r="G56">
        <v>30</v>
      </c>
      <c r="H56">
        <v>23</v>
      </c>
      <c r="I56">
        <v>47</v>
      </c>
      <c r="J56">
        <v>45</v>
      </c>
      <c r="K56">
        <v>88</v>
      </c>
      <c r="L56">
        <v>41</v>
      </c>
      <c r="M56">
        <v>370</v>
      </c>
      <c r="N56">
        <f>IF(B56=0, "", ((L56 - B56) / B56) * 100)</f>
        <v>141.1764705882353</v>
      </c>
      <c r="O56">
        <v>16426</v>
      </c>
      <c r="P56" s="9">
        <f>L56 / O56 * 100000</f>
        <v>249.604285888226</v>
      </c>
    </row>
    <row r="57" spans="1:16">
      <c r="A57" t="s">
        <v>145</v>
      </c>
      <c r="B57">
        <v>13</v>
      </c>
      <c r="C57">
        <v>11</v>
      </c>
      <c r="D57">
        <v>10</v>
      </c>
      <c r="E57">
        <v>15</v>
      </c>
      <c r="F57">
        <v>15</v>
      </c>
      <c r="G57">
        <v>22</v>
      </c>
      <c r="H57">
        <v>20</v>
      </c>
      <c r="I57">
        <v>33</v>
      </c>
      <c r="J57">
        <v>32</v>
      </c>
      <c r="K57">
        <v>69</v>
      </c>
      <c r="L57">
        <v>38</v>
      </c>
      <c r="M57">
        <v>278</v>
      </c>
      <c r="N57">
        <f>IF(B57=0, "", ((L57 - B57) / B57) * 100)</f>
        <v>192.30769230769232</v>
      </c>
      <c r="O57">
        <v>15561</v>
      </c>
      <c r="P57" s="9">
        <f>L57 / O57 * 100000</f>
        <v>244.20024420024421</v>
      </c>
    </row>
    <row r="58" spans="1:16">
      <c r="A58" t="s">
        <v>34</v>
      </c>
      <c r="B58">
        <v>26</v>
      </c>
      <c r="C58">
        <v>16</v>
      </c>
      <c r="D58">
        <v>22</v>
      </c>
      <c r="E58">
        <v>22</v>
      </c>
      <c r="F58">
        <v>25</v>
      </c>
      <c r="G58">
        <v>40</v>
      </c>
      <c r="H58">
        <v>63</v>
      </c>
      <c r="I58">
        <v>56</v>
      </c>
      <c r="J58">
        <v>107</v>
      </c>
      <c r="K58">
        <v>105</v>
      </c>
      <c r="L58">
        <v>84</v>
      </c>
      <c r="M58">
        <v>566</v>
      </c>
      <c r="N58">
        <f>IF(B58=0, "", ((L58 - B58) / B58) * 100)</f>
        <v>223.07692307692309</v>
      </c>
      <c r="O58">
        <v>35333</v>
      </c>
      <c r="P58" s="9">
        <f>L58 / O58 * 100000</f>
        <v>237.73809186879123</v>
      </c>
    </row>
    <row r="59" spans="1:16">
      <c r="A59" t="s">
        <v>45</v>
      </c>
      <c r="B59">
        <v>33</v>
      </c>
      <c r="C59">
        <v>29</v>
      </c>
      <c r="D59">
        <v>27</v>
      </c>
      <c r="E59">
        <v>35</v>
      </c>
      <c r="F59">
        <v>38</v>
      </c>
      <c r="G59">
        <v>58</v>
      </c>
      <c r="H59">
        <v>63</v>
      </c>
      <c r="I59">
        <v>39</v>
      </c>
      <c r="J59">
        <v>82</v>
      </c>
      <c r="K59">
        <v>129</v>
      </c>
      <c r="L59">
        <v>89</v>
      </c>
      <c r="M59">
        <v>622</v>
      </c>
      <c r="N59">
        <f>IF(B59=0, "", ((L59 - B59) / B59) * 100)</f>
        <v>169.69696969696969</v>
      </c>
      <c r="O59">
        <v>37658</v>
      </c>
      <c r="P59" s="9">
        <f>L59 / O59 * 100000</f>
        <v>236.33756439534761</v>
      </c>
    </row>
    <row r="60" spans="1:16">
      <c r="A60" t="s">
        <v>68</v>
      </c>
      <c r="B60">
        <v>15</v>
      </c>
      <c r="C60">
        <v>28</v>
      </c>
      <c r="D60">
        <v>20</v>
      </c>
      <c r="E60">
        <v>16</v>
      </c>
      <c r="F60">
        <v>29</v>
      </c>
      <c r="G60">
        <v>27</v>
      </c>
      <c r="H60">
        <v>30</v>
      </c>
      <c r="I60">
        <v>62</v>
      </c>
      <c r="J60">
        <v>101</v>
      </c>
      <c r="K60">
        <v>123</v>
      </c>
      <c r="L60">
        <v>49</v>
      </c>
      <c r="M60">
        <v>500</v>
      </c>
      <c r="N60">
        <f>IF(B60=0, "", ((L60 - B60) / B60) * 100)</f>
        <v>226.66666666666666</v>
      </c>
      <c r="O60">
        <v>20792</v>
      </c>
      <c r="P60" s="9">
        <f>L60 / O60 * 100000</f>
        <v>235.66756444786458</v>
      </c>
    </row>
    <row r="61" spans="1:16">
      <c r="A61" t="s">
        <v>21</v>
      </c>
      <c r="B61">
        <v>36</v>
      </c>
      <c r="C61">
        <v>32</v>
      </c>
      <c r="D61">
        <v>38</v>
      </c>
      <c r="E61">
        <v>31</v>
      </c>
      <c r="F61">
        <v>32</v>
      </c>
      <c r="G61">
        <v>69</v>
      </c>
      <c r="H61">
        <v>52</v>
      </c>
      <c r="I61">
        <v>61</v>
      </c>
      <c r="J61">
        <v>128</v>
      </c>
      <c r="K61">
        <v>97</v>
      </c>
      <c r="L61">
        <v>80</v>
      </c>
      <c r="M61">
        <v>656</v>
      </c>
      <c r="N61">
        <f>IF(B61=0, "", ((L61 - B61) / B61) * 100)</f>
        <v>122.22222222222223</v>
      </c>
      <c r="O61">
        <v>34118</v>
      </c>
      <c r="P61" s="9">
        <f>L61 / O61 * 100000</f>
        <v>234.48033296207282</v>
      </c>
    </row>
    <row r="62" spans="1:16">
      <c r="A62" t="s">
        <v>58</v>
      </c>
      <c r="B62">
        <v>7</v>
      </c>
      <c r="C62">
        <v>8</v>
      </c>
      <c r="D62">
        <v>7</v>
      </c>
      <c r="E62">
        <v>19</v>
      </c>
      <c r="F62">
        <v>9</v>
      </c>
      <c r="G62">
        <v>22</v>
      </c>
      <c r="H62">
        <v>19</v>
      </c>
      <c r="I62">
        <v>25</v>
      </c>
      <c r="J62">
        <v>53</v>
      </c>
      <c r="K62">
        <v>78</v>
      </c>
      <c r="L62">
        <v>31</v>
      </c>
      <c r="M62">
        <v>278</v>
      </c>
      <c r="N62">
        <f>IF(B62=0, "", ((L62 - B62) / B62) * 100)</f>
        <v>342.85714285714283</v>
      </c>
      <c r="O62">
        <v>13267</v>
      </c>
      <c r="P62" s="9">
        <f>L62 / O62 * 100000</f>
        <v>233.66247079219116</v>
      </c>
    </row>
    <row r="63" spans="1:16">
      <c r="A63" t="s">
        <v>72</v>
      </c>
      <c r="B63">
        <v>7</v>
      </c>
      <c r="C63">
        <v>4</v>
      </c>
      <c r="D63">
        <v>8</v>
      </c>
      <c r="E63">
        <v>10</v>
      </c>
      <c r="F63">
        <v>15</v>
      </c>
      <c r="G63">
        <v>17</v>
      </c>
      <c r="H63">
        <v>19</v>
      </c>
      <c r="I63">
        <v>38</v>
      </c>
      <c r="J63">
        <v>64</v>
      </c>
      <c r="K63">
        <v>57</v>
      </c>
      <c r="L63">
        <v>49</v>
      </c>
      <c r="M63">
        <v>288</v>
      </c>
      <c r="N63">
        <f>IF(B63=0, "", ((L63 - B63) / B63) * 100)</f>
        <v>600</v>
      </c>
      <c r="O63">
        <v>22233</v>
      </c>
      <c r="P63" s="9">
        <f>L63 / O63 * 100000</f>
        <v>220.39310934196914</v>
      </c>
    </row>
    <row r="64" spans="1:16">
      <c r="A64" t="s">
        <v>161</v>
      </c>
      <c r="B64">
        <v>45</v>
      </c>
      <c r="C64">
        <v>35</v>
      </c>
      <c r="D64">
        <v>51</v>
      </c>
      <c r="E64">
        <v>42</v>
      </c>
      <c r="F64">
        <v>52</v>
      </c>
      <c r="G64">
        <v>43</v>
      </c>
      <c r="H64">
        <v>70</v>
      </c>
      <c r="I64">
        <v>58</v>
      </c>
      <c r="J64">
        <v>107</v>
      </c>
      <c r="K64">
        <v>106</v>
      </c>
      <c r="L64">
        <v>80</v>
      </c>
      <c r="M64">
        <v>689</v>
      </c>
      <c r="N64">
        <f>IF(B64=0, "", ((L64 - B64) / B64) * 100)</f>
        <v>77.777777777777786</v>
      </c>
      <c r="O64">
        <v>36538</v>
      </c>
      <c r="P64" s="9">
        <f>L64 / O64 * 100000</f>
        <v>218.95013410695714</v>
      </c>
    </row>
    <row r="65" spans="1:16">
      <c r="A65" t="s">
        <v>169</v>
      </c>
      <c r="B65">
        <v>28</v>
      </c>
      <c r="C65">
        <v>32</v>
      </c>
      <c r="D65">
        <v>26</v>
      </c>
      <c r="E65">
        <v>47</v>
      </c>
      <c r="F65">
        <v>66</v>
      </c>
      <c r="G65">
        <v>72</v>
      </c>
      <c r="H65">
        <v>59</v>
      </c>
      <c r="I65">
        <v>67</v>
      </c>
      <c r="J65">
        <v>94</v>
      </c>
      <c r="K65">
        <v>108</v>
      </c>
      <c r="L65">
        <v>64</v>
      </c>
      <c r="M65">
        <v>663</v>
      </c>
      <c r="N65">
        <f>IF(B65=0, "", ((L65 - B65) / B65) * 100)</f>
        <v>128.57142857142858</v>
      </c>
      <c r="O65">
        <v>29412</v>
      </c>
      <c r="P65" s="9">
        <f>L65 / O65 * 100000</f>
        <v>217.5982592139263</v>
      </c>
    </row>
    <row r="66" spans="1:16">
      <c r="A66" t="s">
        <v>134</v>
      </c>
      <c r="B66">
        <v>29</v>
      </c>
      <c r="C66">
        <v>21</v>
      </c>
      <c r="D66">
        <v>23</v>
      </c>
      <c r="E66">
        <v>35</v>
      </c>
      <c r="F66">
        <v>40</v>
      </c>
      <c r="G66">
        <v>24</v>
      </c>
      <c r="H66">
        <v>31</v>
      </c>
      <c r="I66">
        <v>37</v>
      </c>
      <c r="J66">
        <v>61</v>
      </c>
      <c r="K66">
        <v>72</v>
      </c>
      <c r="L66">
        <v>30</v>
      </c>
      <c r="M66">
        <v>403</v>
      </c>
      <c r="N66">
        <f>IF(B66=0, "", ((L66 - B66) / B66) * 100)</f>
        <v>3.4482758620689653</v>
      </c>
      <c r="O66">
        <v>14027</v>
      </c>
      <c r="P66" s="9">
        <f>L66 / O66 * 100000</f>
        <v>213.8732444571184</v>
      </c>
    </row>
    <row r="67" spans="1:16">
      <c r="A67" t="s">
        <v>33</v>
      </c>
      <c r="B67">
        <v>30</v>
      </c>
      <c r="C67">
        <v>29</v>
      </c>
      <c r="D67">
        <v>7</v>
      </c>
      <c r="E67">
        <v>8</v>
      </c>
      <c r="F67">
        <v>14</v>
      </c>
      <c r="G67">
        <v>31</v>
      </c>
      <c r="H67">
        <v>20</v>
      </c>
      <c r="I67">
        <v>38</v>
      </c>
      <c r="J67">
        <v>68</v>
      </c>
      <c r="K67">
        <v>102</v>
      </c>
      <c r="L67">
        <v>83</v>
      </c>
      <c r="M67">
        <v>430</v>
      </c>
      <c r="N67">
        <f>IF(B67=0, "", ((L67 - B67) / B67) * 100)</f>
        <v>176.66666666666666</v>
      </c>
      <c r="O67">
        <v>38967</v>
      </c>
      <c r="P67" s="9">
        <f>L67 / O67 * 100000</f>
        <v>213.00074421946778</v>
      </c>
    </row>
    <row r="68" spans="1:16">
      <c r="A68" t="s">
        <v>62</v>
      </c>
      <c r="B68">
        <v>10</v>
      </c>
      <c r="C68">
        <v>12</v>
      </c>
      <c r="D68">
        <v>8</v>
      </c>
      <c r="E68">
        <v>11</v>
      </c>
      <c r="F68">
        <v>15</v>
      </c>
      <c r="G68">
        <v>20</v>
      </c>
      <c r="H68">
        <v>8</v>
      </c>
      <c r="I68">
        <v>15</v>
      </c>
      <c r="J68">
        <v>22</v>
      </c>
      <c r="K68">
        <v>24</v>
      </c>
      <c r="L68">
        <v>33</v>
      </c>
      <c r="M68">
        <v>178</v>
      </c>
      <c r="N68">
        <f>IF(B68=0, "", ((L68 - B68) / B68) * 100)</f>
        <v>229.99999999999997</v>
      </c>
      <c r="O68">
        <v>15890</v>
      </c>
      <c r="P68" s="9">
        <f>L68 / O68 * 100000</f>
        <v>207.6777847702958</v>
      </c>
    </row>
    <row r="69" spans="1:16">
      <c r="A69" t="s">
        <v>143</v>
      </c>
      <c r="B69">
        <v>12</v>
      </c>
      <c r="C69">
        <v>12</v>
      </c>
      <c r="D69">
        <v>4</v>
      </c>
      <c r="E69">
        <v>9</v>
      </c>
      <c r="F69">
        <v>12</v>
      </c>
      <c r="G69">
        <v>15</v>
      </c>
      <c r="H69">
        <v>20</v>
      </c>
      <c r="I69">
        <v>16</v>
      </c>
      <c r="J69">
        <v>33</v>
      </c>
      <c r="K69">
        <v>56</v>
      </c>
      <c r="L69">
        <v>50</v>
      </c>
      <c r="M69">
        <v>239</v>
      </c>
      <c r="N69">
        <f>IF(B69=0, "", ((L69 - B69) / B69) * 100)</f>
        <v>316.66666666666663</v>
      </c>
      <c r="O69">
        <v>24666</v>
      </c>
      <c r="P69" s="9">
        <f>L69 / O69 * 100000</f>
        <v>202.70818130219735</v>
      </c>
    </row>
    <row r="70" spans="1:16">
      <c r="A70" t="s">
        <v>94</v>
      </c>
      <c r="B70">
        <v>27</v>
      </c>
      <c r="C70">
        <v>25</v>
      </c>
      <c r="D70">
        <v>31</v>
      </c>
      <c r="E70">
        <v>33</v>
      </c>
      <c r="F70">
        <v>22</v>
      </c>
      <c r="G70">
        <v>43</v>
      </c>
      <c r="H70">
        <v>58</v>
      </c>
      <c r="I70">
        <v>24</v>
      </c>
      <c r="J70">
        <v>41</v>
      </c>
      <c r="K70">
        <v>48</v>
      </c>
      <c r="L70">
        <v>26</v>
      </c>
      <c r="M70">
        <v>378</v>
      </c>
      <c r="N70">
        <f>IF(B70=0, "", ((L70 - B70) / B70) * 100)</f>
        <v>-3.7037037037037033</v>
      </c>
      <c r="O70">
        <v>13021</v>
      </c>
      <c r="P70" s="9">
        <f>L70 / O70 * 100000</f>
        <v>199.67744412871517</v>
      </c>
    </row>
    <row r="71" spans="1:16">
      <c r="A71" t="s">
        <v>80</v>
      </c>
      <c r="B71">
        <v>25</v>
      </c>
      <c r="C71">
        <v>25</v>
      </c>
      <c r="D71">
        <v>20</v>
      </c>
      <c r="E71">
        <v>24</v>
      </c>
      <c r="F71">
        <v>38</v>
      </c>
      <c r="G71">
        <v>31</v>
      </c>
      <c r="H71">
        <v>36</v>
      </c>
      <c r="I71">
        <v>27</v>
      </c>
      <c r="J71">
        <v>46</v>
      </c>
      <c r="K71">
        <v>46</v>
      </c>
      <c r="L71">
        <v>70</v>
      </c>
      <c r="M71">
        <v>388</v>
      </c>
      <c r="N71">
        <f>IF(B71=0, "", ((L71 - B71) / B71) * 100)</f>
        <v>180</v>
      </c>
      <c r="O71">
        <v>35483</v>
      </c>
      <c r="P71" s="9">
        <f>L71 / O71 * 100000</f>
        <v>197.27756954034328</v>
      </c>
    </row>
    <row r="72" spans="1:16">
      <c r="A72" t="s">
        <v>29</v>
      </c>
      <c r="B72">
        <v>11</v>
      </c>
      <c r="C72">
        <v>12</v>
      </c>
      <c r="D72">
        <v>15</v>
      </c>
      <c r="E72">
        <v>14</v>
      </c>
      <c r="F72">
        <v>19</v>
      </c>
      <c r="G72">
        <v>26</v>
      </c>
      <c r="H72">
        <v>21</v>
      </c>
      <c r="I72">
        <v>19</v>
      </c>
      <c r="J72">
        <v>31</v>
      </c>
      <c r="K72">
        <v>64</v>
      </c>
      <c r="L72">
        <v>55</v>
      </c>
      <c r="M72">
        <v>287</v>
      </c>
      <c r="N72">
        <f>IF(B72=0, "", ((L72 - B72) / B72) * 100)</f>
        <v>400</v>
      </c>
      <c r="O72">
        <v>28023</v>
      </c>
      <c r="P72" s="9">
        <f>L72 / O72 * 100000</f>
        <v>196.26735181814936</v>
      </c>
    </row>
    <row r="73" spans="1:16">
      <c r="A73" t="s">
        <v>28</v>
      </c>
      <c r="B73">
        <v>7</v>
      </c>
      <c r="C73">
        <v>8</v>
      </c>
      <c r="D73">
        <v>13</v>
      </c>
      <c r="E73">
        <v>11</v>
      </c>
      <c r="F73">
        <v>13</v>
      </c>
      <c r="G73">
        <v>14</v>
      </c>
      <c r="H73">
        <v>14</v>
      </c>
      <c r="I73">
        <v>19</v>
      </c>
      <c r="J73">
        <v>46</v>
      </c>
      <c r="K73">
        <v>53</v>
      </c>
      <c r="L73">
        <v>75</v>
      </c>
      <c r="M73">
        <v>273</v>
      </c>
      <c r="N73">
        <f>IF(B73=0, "", ((L73 - B73) / B73) * 100)</f>
        <v>971.42857142857133</v>
      </c>
      <c r="O73">
        <v>39495</v>
      </c>
      <c r="P73" s="9">
        <f>L73 / O73 * 100000</f>
        <v>189.89745537409797</v>
      </c>
    </row>
    <row r="74" spans="1:16">
      <c r="A74" t="s">
        <v>41</v>
      </c>
      <c r="B74">
        <v>25</v>
      </c>
      <c r="C74">
        <v>11</v>
      </c>
      <c r="D74">
        <v>8</v>
      </c>
      <c r="E74">
        <v>14</v>
      </c>
      <c r="F74">
        <v>19</v>
      </c>
      <c r="G74">
        <v>27</v>
      </c>
      <c r="H74">
        <v>15</v>
      </c>
      <c r="I74">
        <v>30</v>
      </c>
      <c r="J74">
        <v>44</v>
      </c>
      <c r="K74">
        <v>62</v>
      </c>
      <c r="L74">
        <v>60</v>
      </c>
      <c r="M74">
        <v>315</v>
      </c>
      <c r="N74">
        <f>IF(B74=0, "", ((L74 - B74) / B74) * 100)</f>
        <v>140</v>
      </c>
      <c r="O74">
        <v>31769</v>
      </c>
      <c r="P74" s="9">
        <f>L74 / O74 * 100000</f>
        <v>188.86335736094935</v>
      </c>
    </row>
    <row r="75" spans="1:16">
      <c r="A75" t="s">
        <v>52</v>
      </c>
      <c r="B75">
        <v>12</v>
      </c>
      <c r="C75">
        <v>10</v>
      </c>
      <c r="D75">
        <v>9</v>
      </c>
      <c r="E75">
        <v>16</v>
      </c>
      <c r="F75">
        <v>26</v>
      </c>
      <c r="G75">
        <v>17</v>
      </c>
      <c r="H75">
        <v>8</v>
      </c>
      <c r="I75">
        <v>34</v>
      </c>
      <c r="J75">
        <v>16</v>
      </c>
      <c r="K75">
        <v>38</v>
      </c>
      <c r="L75">
        <v>23</v>
      </c>
      <c r="M75">
        <v>209</v>
      </c>
      <c r="N75">
        <f>IF(B75=0, "", ((L75 - B75) / B75) * 100)</f>
        <v>91.666666666666657</v>
      </c>
      <c r="O75">
        <v>12189</v>
      </c>
      <c r="P75" s="9">
        <f>L75 / O75 * 100000</f>
        <v>188.69472475182542</v>
      </c>
    </row>
    <row r="76" spans="1:16">
      <c r="A76" t="s">
        <v>55</v>
      </c>
      <c r="B76">
        <v>21</v>
      </c>
      <c r="C76">
        <v>19</v>
      </c>
      <c r="D76">
        <v>23</v>
      </c>
      <c r="E76">
        <v>25</v>
      </c>
      <c r="F76">
        <v>39</v>
      </c>
      <c r="G76">
        <v>32</v>
      </c>
      <c r="H76">
        <v>39</v>
      </c>
      <c r="I76">
        <v>46</v>
      </c>
      <c r="J76">
        <v>69</v>
      </c>
      <c r="K76">
        <v>72</v>
      </c>
      <c r="L76">
        <v>62</v>
      </c>
      <c r="M76">
        <v>447</v>
      </c>
      <c r="N76">
        <f>IF(B76=0, "", ((L76 - B76) / B76) * 100)</f>
        <v>195.23809523809524</v>
      </c>
      <c r="O76">
        <v>33042</v>
      </c>
      <c r="P76" s="9">
        <f>L76 / O76 * 100000</f>
        <v>187.63997336722957</v>
      </c>
    </row>
    <row r="77" spans="1:16">
      <c r="A77" t="s">
        <v>50</v>
      </c>
      <c r="B77">
        <v>13</v>
      </c>
      <c r="C77">
        <v>17</v>
      </c>
      <c r="D77">
        <v>15</v>
      </c>
      <c r="E77">
        <v>13</v>
      </c>
      <c r="F77">
        <v>23</v>
      </c>
      <c r="G77">
        <v>26</v>
      </c>
      <c r="H77">
        <v>20</v>
      </c>
      <c r="I77">
        <v>31</v>
      </c>
      <c r="J77">
        <v>46</v>
      </c>
      <c r="K77">
        <v>73</v>
      </c>
      <c r="L77">
        <v>70</v>
      </c>
      <c r="M77">
        <v>347</v>
      </c>
      <c r="N77">
        <f>IF(B77=0, "", ((L77 - B77) / B77) * 100)</f>
        <v>438.46153846153851</v>
      </c>
      <c r="O77">
        <v>37551</v>
      </c>
      <c r="P77" s="9">
        <f>L77 / O77 * 100000</f>
        <v>186.41314478975261</v>
      </c>
    </row>
    <row r="78" spans="1:16">
      <c r="A78" t="s">
        <v>168</v>
      </c>
      <c r="B78">
        <v>43</v>
      </c>
      <c r="C78">
        <v>46</v>
      </c>
      <c r="D78">
        <v>51</v>
      </c>
      <c r="E78">
        <v>34</v>
      </c>
      <c r="F78">
        <v>55</v>
      </c>
      <c r="G78">
        <v>77</v>
      </c>
      <c r="H78">
        <v>82</v>
      </c>
      <c r="I78">
        <v>65</v>
      </c>
      <c r="J78">
        <v>76</v>
      </c>
      <c r="K78">
        <v>84</v>
      </c>
      <c r="L78">
        <v>60</v>
      </c>
      <c r="M78">
        <v>673</v>
      </c>
      <c r="N78">
        <f>IF(B78=0, "", ((L78 - B78) / B78) * 100)</f>
        <v>39.534883720930232</v>
      </c>
      <c r="O78">
        <v>32224</v>
      </c>
      <c r="P78" s="9">
        <f>L78 / O78 * 100000</f>
        <v>186.19662363455811</v>
      </c>
    </row>
    <row r="79" spans="1:16">
      <c r="A79" t="s">
        <v>65</v>
      </c>
      <c r="B79">
        <v>18</v>
      </c>
      <c r="C79">
        <v>11</v>
      </c>
      <c r="D79">
        <v>24</v>
      </c>
      <c r="E79">
        <v>10</v>
      </c>
      <c r="F79">
        <v>28</v>
      </c>
      <c r="G79">
        <v>38</v>
      </c>
      <c r="H79">
        <v>24</v>
      </c>
      <c r="I79">
        <v>28</v>
      </c>
      <c r="J79">
        <v>64</v>
      </c>
      <c r="K79">
        <v>59</v>
      </c>
      <c r="L79">
        <v>49</v>
      </c>
      <c r="M79">
        <v>353</v>
      </c>
      <c r="N79">
        <f>IF(B79=0, "", ((L79 - B79) / B79) * 100)</f>
        <v>172.22222222222223</v>
      </c>
      <c r="O79">
        <v>26502</v>
      </c>
      <c r="P79" s="9">
        <f>L79 / O79 * 100000</f>
        <v>184.89170628631803</v>
      </c>
    </row>
    <row r="80" spans="1:16">
      <c r="A80" t="s">
        <v>76</v>
      </c>
      <c r="B80">
        <v>13</v>
      </c>
      <c r="C80">
        <v>15</v>
      </c>
      <c r="D80">
        <v>20</v>
      </c>
      <c r="E80">
        <v>25</v>
      </c>
      <c r="F80">
        <v>34</v>
      </c>
      <c r="G80">
        <v>27</v>
      </c>
      <c r="H80">
        <v>39</v>
      </c>
      <c r="I80">
        <v>39</v>
      </c>
      <c r="J80">
        <v>69</v>
      </c>
      <c r="K80">
        <v>84</v>
      </c>
      <c r="L80">
        <v>65</v>
      </c>
      <c r="M80">
        <v>430</v>
      </c>
      <c r="N80">
        <f>IF(B80=0, "", ((L80 - B80) / B80) * 100)</f>
        <v>400</v>
      </c>
      <c r="O80">
        <v>35425</v>
      </c>
      <c r="P80" s="9">
        <f>L80 / O80 * 100000</f>
        <v>183.48623853211009</v>
      </c>
    </row>
    <row r="81" spans="1:16">
      <c r="A81" t="s">
        <v>86</v>
      </c>
      <c r="B81">
        <v>27</v>
      </c>
      <c r="C81">
        <v>14</v>
      </c>
      <c r="D81">
        <v>19</v>
      </c>
      <c r="E81">
        <v>15</v>
      </c>
      <c r="F81">
        <v>16</v>
      </c>
      <c r="G81">
        <v>23</v>
      </c>
      <c r="H81">
        <v>24</v>
      </c>
      <c r="I81">
        <v>26</v>
      </c>
      <c r="J81">
        <v>39</v>
      </c>
      <c r="K81">
        <v>55</v>
      </c>
      <c r="L81">
        <v>37</v>
      </c>
      <c r="M81">
        <v>295</v>
      </c>
      <c r="N81">
        <f>IF(B81=0, "", ((L81 - B81) / B81) * 100)</f>
        <v>37.037037037037038</v>
      </c>
      <c r="O81">
        <v>20226</v>
      </c>
      <c r="P81" s="9">
        <f>L81 / O81 * 100000</f>
        <v>182.93285869672698</v>
      </c>
    </row>
    <row r="82" spans="1:16">
      <c r="A82" t="s">
        <v>54</v>
      </c>
      <c r="B82">
        <v>14</v>
      </c>
      <c r="C82">
        <v>14</v>
      </c>
      <c r="D82">
        <v>10</v>
      </c>
      <c r="E82">
        <v>20</v>
      </c>
      <c r="F82">
        <v>8</v>
      </c>
      <c r="G82">
        <v>14</v>
      </c>
      <c r="H82">
        <v>21</v>
      </c>
      <c r="I82">
        <v>27</v>
      </c>
      <c r="J82">
        <v>27</v>
      </c>
      <c r="K82">
        <v>34</v>
      </c>
      <c r="L82">
        <v>27</v>
      </c>
      <c r="M82">
        <v>216</v>
      </c>
      <c r="N82">
        <f>IF(B82=0, "", ((L82 - B82) / B82) * 100)</f>
        <v>92.857142857142861</v>
      </c>
      <c r="O82">
        <v>15005</v>
      </c>
      <c r="P82" s="9">
        <f>L82 / O82 * 100000</f>
        <v>179.94001999333554</v>
      </c>
    </row>
    <row r="83" spans="1:16">
      <c r="A83" t="s">
        <v>85</v>
      </c>
      <c r="B83">
        <v>20</v>
      </c>
      <c r="C83">
        <v>16</v>
      </c>
      <c r="D83">
        <v>31</v>
      </c>
      <c r="E83">
        <v>31</v>
      </c>
      <c r="F83">
        <v>24</v>
      </c>
      <c r="G83">
        <v>31</v>
      </c>
      <c r="H83">
        <v>29</v>
      </c>
      <c r="I83">
        <v>45</v>
      </c>
      <c r="J83">
        <v>41</v>
      </c>
      <c r="K83">
        <v>63</v>
      </c>
      <c r="L83">
        <v>43</v>
      </c>
      <c r="M83">
        <v>374</v>
      </c>
      <c r="N83">
        <f>IF(B83=0, "", ((L83 - B83) / B83) * 100)</f>
        <v>114.99999999999999</v>
      </c>
      <c r="O83">
        <v>24206</v>
      </c>
      <c r="P83" s="9">
        <f>L83 / O83 * 100000</f>
        <v>177.64190696521524</v>
      </c>
    </row>
    <row r="84" spans="1:16">
      <c r="A84" t="s">
        <v>128</v>
      </c>
      <c r="B84">
        <v>18</v>
      </c>
      <c r="C84">
        <v>22</v>
      </c>
      <c r="D84">
        <v>26</v>
      </c>
      <c r="E84">
        <v>28</v>
      </c>
      <c r="F84">
        <v>16</v>
      </c>
      <c r="G84">
        <v>25</v>
      </c>
      <c r="H84">
        <v>47</v>
      </c>
      <c r="I84">
        <v>63</v>
      </c>
      <c r="J84">
        <v>66</v>
      </c>
      <c r="K84">
        <v>120</v>
      </c>
      <c r="L84">
        <v>53</v>
      </c>
      <c r="M84">
        <v>484</v>
      </c>
      <c r="N84">
        <f>IF(B84=0, "", ((L84 - B84) / B84) * 100)</f>
        <v>194.44444444444443</v>
      </c>
      <c r="O84">
        <v>30446</v>
      </c>
      <c r="P84" s="9">
        <f>L84 / O84 * 100000</f>
        <v>174.07869670892728</v>
      </c>
    </row>
    <row r="85" spans="1:16">
      <c r="A85" t="s">
        <v>165</v>
      </c>
      <c r="B85">
        <v>10</v>
      </c>
      <c r="C85">
        <v>15</v>
      </c>
      <c r="D85">
        <v>15</v>
      </c>
      <c r="E85">
        <v>23</v>
      </c>
      <c r="F85">
        <v>44</v>
      </c>
      <c r="G85">
        <v>52</v>
      </c>
      <c r="H85">
        <v>43</v>
      </c>
      <c r="I85">
        <v>44</v>
      </c>
      <c r="J85">
        <v>55</v>
      </c>
      <c r="K85">
        <v>49</v>
      </c>
      <c r="L85">
        <v>35</v>
      </c>
      <c r="M85">
        <v>385</v>
      </c>
      <c r="N85">
        <f>IF(B85=0, "", ((L85 - B85) / B85) * 100)</f>
        <v>250</v>
      </c>
      <c r="O85">
        <v>20110</v>
      </c>
      <c r="P85" s="9">
        <f>L85 / O85 * 100000</f>
        <v>174.042764793635</v>
      </c>
    </row>
    <row r="86" spans="1:16">
      <c r="A86" t="s">
        <v>40</v>
      </c>
      <c r="B86">
        <v>21</v>
      </c>
      <c r="C86">
        <v>17</v>
      </c>
      <c r="D86">
        <v>14</v>
      </c>
      <c r="E86">
        <v>12</v>
      </c>
      <c r="F86">
        <v>11</v>
      </c>
      <c r="G86">
        <v>8</v>
      </c>
      <c r="H86">
        <v>32</v>
      </c>
      <c r="I86">
        <v>33</v>
      </c>
      <c r="J86">
        <v>52</v>
      </c>
      <c r="K86">
        <v>50</v>
      </c>
      <c r="L86">
        <v>57</v>
      </c>
      <c r="M86">
        <v>307</v>
      </c>
      <c r="N86">
        <f>IF(B86=0, "", ((L86 - B86) / B86) * 100)</f>
        <v>171.42857142857142</v>
      </c>
      <c r="O86">
        <v>32939</v>
      </c>
      <c r="P86" s="9">
        <f>L86 / O86 * 100000</f>
        <v>173.04714775797686</v>
      </c>
    </row>
    <row r="87" spans="1:16">
      <c r="A87" t="s">
        <v>67</v>
      </c>
      <c r="B87">
        <v>23</v>
      </c>
      <c r="C87">
        <v>22</v>
      </c>
      <c r="D87">
        <v>14</v>
      </c>
      <c r="E87">
        <v>27</v>
      </c>
      <c r="F87">
        <v>39</v>
      </c>
      <c r="G87">
        <v>18</v>
      </c>
      <c r="H87">
        <v>23</v>
      </c>
      <c r="I87">
        <v>46</v>
      </c>
      <c r="J87">
        <v>84</v>
      </c>
      <c r="K87">
        <v>82</v>
      </c>
      <c r="L87">
        <v>39</v>
      </c>
      <c r="M87">
        <v>417</v>
      </c>
      <c r="N87">
        <f>IF(B87=0, "", ((L87 - B87) / B87) * 100)</f>
        <v>69.565217391304344</v>
      </c>
      <c r="O87">
        <v>22627</v>
      </c>
      <c r="P87" s="9">
        <f>L87 / O87 * 100000</f>
        <v>172.3604543244796</v>
      </c>
    </row>
    <row r="88" spans="1:16">
      <c r="A88" t="s">
        <v>111</v>
      </c>
      <c r="B88">
        <v>3</v>
      </c>
      <c r="C88">
        <v>5</v>
      </c>
      <c r="D88">
        <v>6</v>
      </c>
      <c r="E88">
        <v>0</v>
      </c>
      <c r="F88">
        <v>9</v>
      </c>
      <c r="G88">
        <v>4</v>
      </c>
      <c r="H88">
        <v>8</v>
      </c>
      <c r="I88">
        <v>19</v>
      </c>
      <c r="J88">
        <v>22</v>
      </c>
      <c r="K88">
        <v>32</v>
      </c>
      <c r="L88">
        <v>22</v>
      </c>
      <c r="M88">
        <v>130</v>
      </c>
      <c r="N88">
        <f>IF(B88=0, "", ((L88 - B88) / B88) * 100)</f>
        <v>633.33333333333326</v>
      </c>
      <c r="O88">
        <v>13016</v>
      </c>
      <c r="P88" s="9">
        <f>L88 / O88 * 100000</f>
        <v>169.02274124154886</v>
      </c>
    </row>
    <row r="89" spans="1:16">
      <c r="A89" t="s">
        <v>156</v>
      </c>
      <c r="B89">
        <v>8</v>
      </c>
      <c r="C89">
        <v>15</v>
      </c>
      <c r="D89">
        <v>13</v>
      </c>
      <c r="E89">
        <v>9</v>
      </c>
      <c r="F89">
        <v>19</v>
      </c>
      <c r="G89">
        <v>9</v>
      </c>
      <c r="H89">
        <v>29</v>
      </c>
      <c r="I89">
        <v>22</v>
      </c>
      <c r="J89">
        <v>31</v>
      </c>
      <c r="K89">
        <v>49</v>
      </c>
      <c r="L89">
        <v>40</v>
      </c>
      <c r="M89">
        <v>244</v>
      </c>
      <c r="N89">
        <f>IF(B89=0, "", ((L89 - B89) / B89) * 100)</f>
        <v>400</v>
      </c>
      <c r="O89">
        <v>23837</v>
      </c>
      <c r="P89" s="9">
        <f>L89 / O89 * 100000</f>
        <v>167.80635147040317</v>
      </c>
    </row>
    <row r="90" spans="1:16">
      <c r="A90" t="s">
        <v>146</v>
      </c>
      <c r="B90">
        <v>25</v>
      </c>
      <c r="C90">
        <v>14</v>
      </c>
      <c r="D90">
        <v>14</v>
      </c>
      <c r="E90">
        <v>21</v>
      </c>
      <c r="F90">
        <v>8</v>
      </c>
      <c r="G90">
        <v>38</v>
      </c>
      <c r="H90">
        <v>30</v>
      </c>
      <c r="I90">
        <v>42</v>
      </c>
      <c r="J90">
        <v>61</v>
      </c>
      <c r="K90">
        <v>98</v>
      </c>
      <c r="L90">
        <v>65</v>
      </c>
      <c r="M90">
        <v>416</v>
      </c>
      <c r="N90">
        <f>IF(B90=0, "", ((L90 - B90) / B90) * 100)</f>
        <v>160</v>
      </c>
      <c r="O90">
        <v>38854</v>
      </c>
      <c r="P90" s="9">
        <f>L90 / O90 * 100000</f>
        <v>167.29294281155092</v>
      </c>
    </row>
    <row r="91" spans="1:16">
      <c r="A91" t="s">
        <v>96</v>
      </c>
      <c r="B91">
        <v>25</v>
      </c>
      <c r="C91">
        <v>21</v>
      </c>
      <c r="D91">
        <v>16</v>
      </c>
      <c r="E91">
        <v>21</v>
      </c>
      <c r="F91">
        <v>52</v>
      </c>
      <c r="G91">
        <v>42</v>
      </c>
      <c r="H91">
        <v>39</v>
      </c>
      <c r="I91">
        <v>50</v>
      </c>
      <c r="J91">
        <v>59</v>
      </c>
      <c r="K91">
        <v>43</v>
      </c>
      <c r="L91">
        <v>37</v>
      </c>
      <c r="M91">
        <v>405</v>
      </c>
      <c r="N91">
        <f>IF(B91=0, "", ((L91 - B91) / B91) * 100)</f>
        <v>48</v>
      </c>
      <c r="O91">
        <v>22805</v>
      </c>
      <c r="P91" s="9">
        <f>L91 / O91 * 100000</f>
        <v>162.24512168384126</v>
      </c>
    </row>
    <row r="92" spans="1:16">
      <c r="A92" t="s">
        <v>48</v>
      </c>
      <c r="B92">
        <v>26</v>
      </c>
      <c r="C92">
        <v>12</v>
      </c>
      <c r="D92">
        <v>12</v>
      </c>
      <c r="E92">
        <v>27</v>
      </c>
      <c r="F92">
        <v>30</v>
      </c>
      <c r="G92">
        <v>24</v>
      </c>
      <c r="H92">
        <v>33</v>
      </c>
      <c r="I92">
        <v>34</v>
      </c>
      <c r="J92">
        <v>53</v>
      </c>
      <c r="K92">
        <v>45</v>
      </c>
      <c r="L92">
        <v>49</v>
      </c>
      <c r="M92">
        <v>345</v>
      </c>
      <c r="N92">
        <f>IF(B92=0, "", ((L92 - B92) / B92) * 100)</f>
        <v>88.461538461538453</v>
      </c>
      <c r="O92">
        <v>30431</v>
      </c>
      <c r="P92" s="9">
        <f>L92 / O92 * 100000</f>
        <v>161.02001248726629</v>
      </c>
    </row>
    <row r="93" spans="1:16">
      <c r="A93" t="s">
        <v>63</v>
      </c>
      <c r="B93">
        <v>9</v>
      </c>
      <c r="C93">
        <v>4</v>
      </c>
      <c r="D93">
        <v>10</v>
      </c>
      <c r="E93">
        <v>6</v>
      </c>
      <c r="F93">
        <v>11</v>
      </c>
      <c r="G93">
        <v>9</v>
      </c>
      <c r="H93">
        <v>8</v>
      </c>
      <c r="I93">
        <v>8</v>
      </c>
      <c r="J93">
        <v>25</v>
      </c>
      <c r="K93">
        <v>34</v>
      </c>
      <c r="L93">
        <v>33</v>
      </c>
      <c r="M93">
        <v>157</v>
      </c>
      <c r="N93">
        <f>IF(B93=0, "", ((L93 - B93) / B93) * 100)</f>
        <v>266.66666666666663</v>
      </c>
      <c r="O93">
        <v>20838</v>
      </c>
      <c r="P93" s="9">
        <f>L93 / O93 * 100000</f>
        <v>158.36452634609847</v>
      </c>
    </row>
    <row r="94" spans="1:16">
      <c r="A94" t="s">
        <v>56</v>
      </c>
      <c r="B94">
        <v>10</v>
      </c>
      <c r="C94">
        <v>15</v>
      </c>
      <c r="D94">
        <v>14</v>
      </c>
      <c r="E94">
        <v>10</v>
      </c>
      <c r="F94">
        <v>13</v>
      </c>
      <c r="G94">
        <v>19</v>
      </c>
      <c r="H94">
        <v>16</v>
      </c>
      <c r="I94">
        <v>14</v>
      </c>
      <c r="J94">
        <v>16</v>
      </c>
      <c r="K94">
        <v>23</v>
      </c>
      <c r="L94">
        <v>22</v>
      </c>
      <c r="M94">
        <v>172</v>
      </c>
      <c r="N94">
        <f>IF(B94=0, "", ((L94 - B94) / B94) * 100)</f>
        <v>120</v>
      </c>
      <c r="O94">
        <v>13899</v>
      </c>
      <c r="P94" s="9">
        <f>L94 / O94 * 100000</f>
        <v>158.28476868839485</v>
      </c>
    </row>
    <row r="95" spans="1:16">
      <c r="A95" t="s">
        <v>137</v>
      </c>
      <c r="B95">
        <v>7</v>
      </c>
      <c r="C95">
        <v>18</v>
      </c>
      <c r="D95">
        <v>15</v>
      </c>
      <c r="E95">
        <v>8</v>
      </c>
      <c r="F95">
        <v>13</v>
      </c>
      <c r="G95">
        <v>25</v>
      </c>
      <c r="H95">
        <v>18</v>
      </c>
      <c r="I95">
        <v>13</v>
      </c>
      <c r="J95">
        <v>47</v>
      </c>
      <c r="K95">
        <v>48</v>
      </c>
      <c r="L95">
        <v>43</v>
      </c>
      <c r="M95">
        <v>255</v>
      </c>
      <c r="N95">
        <f>IF(B95=0, "", ((L95 - B95) / B95) * 100)</f>
        <v>514.28571428571433</v>
      </c>
      <c r="O95">
        <v>27422</v>
      </c>
      <c r="P95" s="9">
        <f>L95 / O95 * 100000</f>
        <v>156.80840201298227</v>
      </c>
    </row>
    <row r="96" spans="1:16">
      <c r="A96" t="s">
        <v>159</v>
      </c>
      <c r="B96">
        <v>26</v>
      </c>
      <c r="C96">
        <v>23</v>
      </c>
      <c r="D96">
        <v>28</v>
      </c>
      <c r="E96">
        <v>18</v>
      </c>
      <c r="F96">
        <v>18</v>
      </c>
      <c r="G96">
        <v>23</v>
      </c>
      <c r="H96">
        <v>37</v>
      </c>
      <c r="I96">
        <v>30</v>
      </c>
      <c r="J96">
        <v>76</v>
      </c>
      <c r="K96">
        <v>117</v>
      </c>
      <c r="L96">
        <v>48</v>
      </c>
      <c r="M96">
        <v>444</v>
      </c>
      <c r="N96">
        <f>IF(B96=0, "", ((L96 - B96) / B96) * 100)</f>
        <v>84.615384615384613</v>
      </c>
      <c r="O96">
        <v>31115</v>
      </c>
      <c r="P96" s="9">
        <f>L96 / O96 * 100000</f>
        <v>154.26643098184155</v>
      </c>
    </row>
    <row r="97" spans="1:16">
      <c r="A97" t="s">
        <v>106</v>
      </c>
      <c r="B97">
        <v>8</v>
      </c>
      <c r="C97">
        <v>24</v>
      </c>
      <c r="D97">
        <v>7</v>
      </c>
      <c r="E97">
        <v>11</v>
      </c>
      <c r="F97">
        <v>31</v>
      </c>
      <c r="G97">
        <v>20</v>
      </c>
      <c r="H97">
        <v>23</v>
      </c>
      <c r="I97">
        <v>30</v>
      </c>
      <c r="J97">
        <v>54</v>
      </c>
      <c r="K97">
        <v>59</v>
      </c>
      <c r="L97">
        <v>59</v>
      </c>
      <c r="M97">
        <v>326</v>
      </c>
      <c r="N97">
        <f>IF(B97=0, "", ((L97 - B97) / B97) * 100)</f>
        <v>637.5</v>
      </c>
      <c r="O97">
        <v>38557</v>
      </c>
      <c r="P97" s="9">
        <f>L97 / O97 * 100000</f>
        <v>153.02020385403429</v>
      </c>
    </row>
    <row r="98" spans="1:16">
      <c r="A98" t="s">
        <v>121</v>
      </c>
      <c r="B98">
        <v>11</v>
      </c>
      <c r="C98">
        <v>6</v>
      </c>
      <c r="D98">
        <v>7</v>
      </c>
      <c r="E98">
        <v>17</v>
      </c>
      <c r="F98">
        <v>13</v>
      </c>
      <c r="G98">
        <v>24</v>
      </c>
      <c r="H98">
        <v>29</v>
      </c>
      <c r="I98">
        <v>14</v>
      </c>
      <c r="J98">
        <v>28</v>
      </c>
      <c r="K98">
        <v>46</v>
      </c>
      <c r="L98">
        <v>37</v>
      </c>
      <c r="M98">
        <v>232</v>
      </c>
      <c r="N98">
        <f>IF(B98=0, "", ((L98 - B98) / B98) * 100)</f>
        <v>236.36363636363637</v>
      </c>
      <c r="O98">
        <v>24185</v>
      </c>
      <c r="P98" s="9">
        <f>L98 / O98 * 100000</f>
        <v>152.98738887740336</v>
      </c>
    </row>
    <row r="99" spans="1:16">
      <c r="A99" t="s">
        <v>42</v>
      </c>
      <c r="B99">
        <v>8</v>
      </c>
      <c r="C99">
        <v>7</v>
      </c>
      <c r="D99">
        <v>5</v>
      </c>
      <c r="E99">
        <v>9</v>
      </c>
      <c r="F99">
        <v>10</v>
      </c>
      <c r="G99">
        <v>22</v>
      </c>
      <c r="H99">
        <v>10</v>
      </c>
      <c r="I99">
        <v>23</v>
      </c>
      <c r="J99">
        <v>26</v>
      </c>
      <c r="K99">
        <v>47</v>
      </c>
      <c r="L99">
        <v>28</v>
      </c>
      <c r="M99">
        <v>195</v>
      </c>
      <c r="N99">
        <f>IF(B99=0, "", ((L99 - B99) / B99) * 100)</f>
        <v>250</v>
      </c>
      <c r="O99">
        <v>18396</v>
      </c>
      <c r="P99" s="9">
        <f>L99 / O99 * 100000</f>
        <v>152.20700152207002</v>
      </c>
    </row>
    <row r="100" spans="1:16">
      <c r="A100" t="s">
        <v>164</v>
      </c>
      <c r="B100">
        <v>13</v>
      </c>
      <c r="C100">
        <v>10</v>
      </c>
      <c r="D100">
        <v>23</v>
      </c>
      <c r="E100">
        <v>26</v>
      </c>
      <c r="F100">
        <v>57</v>
      </c>
      <c r="G100">
        <v>52</v>
      </c>
      <c r="H100">
        <v>44</v>
      </c>
      <c r="I100">
        <v>41</v>
      </c>
      <c r="J100">
        <v>58</v>
      </c>
      <c r="K100">
        <v>75</v>
      </c>
      <c r="L100">
        <v>41</v>
      </c>
      <c r="M100">
        <v>440</v>
      </c>
      <c r="N100">
        <f>IF(B100=0, "", ((L100 - B100) / B100) * 100)</f>
        <v>215.38461538461539</v>
      </c>
      <c r="O100">
        <v>26948</v>
      </c>
      <c r="P100" s="9">
        <f>L100 / O100 * 100000</f>
        <v>152.14487160457176</v>
      </c>
    </row>
    <row r="101" spans="1:16">
      <c r="A101" t="s">
        <v>138</v>
      </c>
      <c r="B101">
        <v>7</v>
      </c>
      <c r="C101">
        <v>19</v>
      </c>
      <c r="D101">
        <v>10</v>
      </c>
      <c r="E101">
        <v>13</v>
      </c>
      <c r="F101">
        <v>15</v>
      </c>
      <c r="G101">
        <v>39</v>
      </c>
      <c r="H101">
        <v>22</v>
      </c>
      <c r="I101">
        <v>16</v>
      </c>
      <c r="J101">
        <v>36</v>
      </c>
      <c r="K101">
        <v>36</v>
      </c>
      <c r="L101">
        <v>26</v>
      </c>
      <c r="M101">
        <v>239</v>
      </c>
      <c r="N101">
        <f>IF(B101=0, "", ((L101 - B101) / B101) * 100)</f>
        <v>271.42857142857144</v>
      </c>
      <c r="O101">
        <v>17258</v>
      </c>
      <c r="P101" s="9">
        <f>L101 / O101 * 100000</f>
        <v>150.65476880287403</v>
      </c>
    </row>
    <row r="102" spans="1:16">
      <c r="A102" t="s">
        <v>75</v>
      </c>
      <c r="B102">
        <v>4</v>
      </c>
      <c r="C102">
        <v>3</v>
      </c>
      <c r="D102">
        <v>5</v>
      </c>
      <c r="E102">
        <v>8</v>
      </c>
      <c r="F102">
        <v>18</v>
      </c>
      <c r="G102">
        <v>5</v>
      </c>
      <c r="H102">
        <v>20</v>
      </c>
      <c r="I102">
        <v>21</v>
      </c>
      <c r="J102">
        <v>30</v>
      </c>
      <c r="K102">
        <v>43</v>
      </c>
      <c r="L102">
        <v>22</v>
      </c>
      <c r="M102">
        <v>179</v>
      </c>
      <c r="N102">
        <f>IF(B102=0, "", ((L102 - B102) / B102) * 100)</f>
        <v>450</v>
      </c>
      <c r="O102">
        <v>14612</v>
      </c>
      <c r="P102" s="9">
        <f>L102 / O102 * 100000</f>
        <v>150.56118258965236</v>
      </c>
    </row>
    <row r="103" spans="1:16">
      <c r="A103" t="s">
        <v>122</v>
      </c>
      <c r="B103">
        <v>8</v>
      </c>
      <c r="C103">
        <v>7</v>
      </c>
      <c r="D103">
        <v>4</v>
      </c>
      <c r="E103">
        <v>12</v>
      </c>
      <c r="F103">
        <v>8</v>
      </c>
      <c r="G103">
        <v>9</v>
      </c>
      <c r="H103">
        <v>17</v>
      </c>
      <c r="I103">
        <v>17</v>
      </c>
      <c r="J103">
        <v>22</v>
      </c>
      <c r="K103">
        <v>38</v>
      </c>
      <c r="L103">
        <v>50</v>
      </c>
      <c r="M103">
        <v>192</v>
      </c>
      <c r="N103">
        <f>IF(B103=0, "", ((L103 - B103) / B103) * 100)</f>
        <v>525</v>
      </c>
      <c r="O103">
        <v>33243</v>
      </c>
      <c r="P103" s="9">
        <f>L103 / O103 * 100000</f>
        <v>150.40760460848901</v>
      </c>
    </row>
    <row r="104" spans="1:16">
      <c r="A104" t="s">
        <v>149</v>
      </c>
      <c r="B104">
        <v>14</v>
      </c>
      <c r="C104">
        <v>10</v>
      </c>
      <c r="D104">
        <v>23</v>
      </c>
      <c r="E104">
        <v>19</v>
      </c>
      <c r="F104">
        <v>25</v>
      </c>
      <c r="G104">
        <v>27</v>
      </c>
      <c r="H104">
        <v>24</v>
      </c>
      <c r="I104">
        <v>40</v>
      </c>
      <c r="J104">
        <v>16</v>
      </c>
      <c r="K104">
        <v>74</v>
      </c>
      <c r="L104">
        <v>51</v>
      </c>
      <c r="M104">
        <v>323</v>
      </c>
      <c r="N104">
        <f>IF(B104=0, "", ((L104 - B104) / B104) * 100)</f>
        <v>264.28571428571428</v>
      </c>
      <c r="O104">
        <v>34662</v>
      </c>
      <c r="P104" s="9">
        <f>L104 / O104 * 100000</f>
        <v>147.13519127574867</v>
      </c>
    </row>
    <row r="105" spans="1:16">
      <c r="A105" t="s">
        <v>71</v>
      </c>
      <c r="B105">
        <v>6</v>
      </c>
      <c r="C105">
        <v>9</v>
      </c>
      <c r="D105">
        <v>3</v>
      </c>
      <c r="E105">
        <v>2</v>
      </c>
      <c r="F105">
        <v>11</v>
      </c>
      <c r="G105">
        <v>12</v>
      </c>
      <c r="H105">
        <v>17</v>
      </c>
      <c r="I105">
        <v>28</v>
      </c>
      <c r="J105">
        <v>34</v>
      </c>
      <c r="K105">
        <v>40</v>
      </c>
      <c r="L105">
        <v>30</v>
      </c>
      <c r="M105">
        <v>192</v>
      </c>
      <c r="N105">
        <f>IF(B105=0, "", ((L105 - B105) / B105) * 100)</f>
        <v>400</v>
      </c>
      <c r="O105">
        <v>20433</v>
      </c>
      <c r="P105" s="9">
        <f>L105 / O105 * 100000</f>
        <v>146.82131845543972</v>
      </c>
    </row>
    <row r="106" spans="1:16">
      <c r="A106" t="s">
        <v>91</v>
      </c>
      <c r="B106">
        <v>18</v>
      </c>
      <c r="C106">
        <v>14</v>
      </c>
      <c r="D106">
        <v>16</v>
      </c>
      <c r="E106">
        <v>27</v>
      </c>
      <c r="F106">
        <v>22</v>
      </c>
      <c r="G106">
        <v>33</v>
      </c>
      <c r="H106">
        <v>23</v>
      </c>
      <c r="I106">
        <v>24</v>
      </c>
      <c r="J106">
        <v>29</v>
      </c>
      <c r="K106">
        <v>34</v>
      </c>
      <c r="L106">
        <v>23</v>
      </c>
      <c r="M106">
        <v>263</v>
      </c>
      <c r="N106">
        <f>IF(B106=0, "", ((L106 - B106) / B106) * 100)</f>
        <v>27.777777777777779</v>
      </c>
      <c r="O106">
        <v>15943</v>
      </c>
      <c r="P106" s="9">
        <f>L106 / O106 * 100000</f>
        <v>144.26394028727341</v>
      </c>
    </row>
    <row r="107" spans="1:16">
      <c r="A107" t="s">
        <v>136</v>
      </c>
      <c r="B107">
        <v>39</v>
      </c>
      <c r="C107">
        <v>42</v>
      </c>
      <c r="D107">
        <v>30</v>
      </c>
      <c r="E107">
        <v>22</v>
      </c>
      <c r="F107">
        <v>48</v>
      </c>
      <c r="G107">
        <v>36</v>
      </c>
      <c r="H107">
        <v>57</v>
      </c>
      <c r="I107">
        <v>49</v>
      </c>
      <c r="J107">
        <v>67</v>
      </c>
      <c r="K107">
        <v>77</v>
      </c>
      <c r="L107">
        <v>54</v>
      </c>
      <c r="M107">
        <v>521</v>
      </c>
      <c r="N107">
        <f>IF(B107=0, "", ((L107 - B107) / B107) * 100)</f>
        <v>38.461538461538467</v>
      </c>
      <c r="O107">
        <v>38071</v>
      </c>
      <c r="P107" s="9">
        <f>L107 / O107 * 100000</f>
        <v>141.84024585642615</v>
      </c>
    </row>
    <row r="108" spans="1:16">
      <c r="A108" t="s">
        <v>160</v>
      </c>
      <c r="B108">
        <v>27</v>
      </c>
      <c r="C108">
        <v>26</v>
      </c>
      <c r="D108">
        <v>17</v>
      </c>
      <c r="E108">
        <v>25</v>
      </c>
      <c r="F108">
        <v>15</v>
      </c>
      <c r="G108">
        <v>19</v>
      </c>
      <c r="H108">
        <v>23</v>
      </c>
      <c r="I108">
        <v>21</v>
      </c>
      <c r="J108">
        <v>29</v>
      </c>
      <c r="K108">
        <v>25</v>
      </c>
      <c r="L108">
        <v>32</v>
      </c>
      <c r="M108">
        <v>259</v>
      </c>
      <c r="N108">
        <f>IF(B108=0, "", ((L108 - B108) / B108) * 100)</f>
        <v>18.518518518518519</v>
      </c>
      <c r="O108">
        <v>22965</v>
      </c>
      <c r="P108" s="9">
        <f>L108 / O108 * 100000</f>
        <v>139.3424776834313</v>
      </c>
    </row>
    <row r="109" spans="1:16">
      <c r="A109" t="s">
        <v>103</v>
      </c>
      <c r="B109">
        <v>11</v>
      </c>
      <c r="C109">
        <v>7</v>
      </c>
      <c r="D109">
        <v>6</v>
      </c>
      <c r="E109">
        <v>6</v>
      </c>
      <c r="F109">
        <v>14</v>
      </c>
      <c r="G109">
        <v>10</v>
      </c>
      <c r="H109">
        <v>9</v>
      </c>
      <c r="I109">
        <v>22</v>
      </c>
      <c r="J109">
        <v>24</v>
      </c>
      <c r="K109">
        <v>26</v>
      </c>
      <c r="L109">
        <v>24</v>
      </c>
      <c r="M109">
        <v>159</v>
      </c>
      <c r="N109">
        <f>IF(B109=0, "", ((L109 - B109) / B109) * 100)</f>
        <v>118.18181818181819</v>
      </c>
      <c r="O109">
        <v>17675</v>
      </c>
      <c r="P109" s="9">
        <f>L109 / O109 * 100000</f>
        <v>135.78500707213578</v>
      </c>
    </row>
    <row r="110" spans="1:16">
      <c r="A110" t="s">
        <v>116</v>
      </c>
      <c r="B110">
        <v>9</v>
      </c>
      <c r="C110">
        <v>19</v>
      </c>
      <c r="D110">
        <v>23</v>
      </c>
      <c r="E110">
        <v>18</v>
      </c>
      <c r="F110">
        <v>15</v>
      </c>
      <c r="G110">
        <v>21</v>
      </c>
      <c r="H110">
        <v>16</v>
      </c>
      <c r="I110">
        <v>17</v>
      </c>
      <c r="J110">
        <v>32</v>
      </c>
      <c r="K110">
        <v>43</v>
      </c>
      <c r="L110">
        <v>47</v>
      </c>
      <c r="M110">
        <v>260</v>
      </c>
      <c r="N110">
        <f>IF(B110=0, "", ((L110 - B110) / B110) * 100)</f>
        <v>422.22222222222223</v>
      </c>
      <c r="O110">
        <v>36300</v>
      </c>
      <c r="P110" s="9">
        <f>L110 / O110 * 100000</f>
        <v>129.47658402203857</v>
      </c>
    </row>
    <row r="111" spans="1:16">
      <c r="A111" t="s">
        <v>105</v>
      </c>
      <c r="B111">
        <v>6</v>
      </c>
      <c r="C111">
        <v>9</v>
      </c>
      <c r="D111">
        <v>10</v>
      </c>
      <c r="E111">
        <v>5</v>
      </c>
      <c r="F111">
        <v>9</v>
      </c>
      <c r="G111">
        <v>8</v>
      </c>
      <c r="H111">
        <v>11</v>
      </c>
      <c r="I111">
        <v>13</v>
      </c>
      <c r="J111">
        <v>18</v>
      </c>
      <c r="K111">
        <v>32</v>
      </c>
      <c r="L111">
        <v>21</v>
      </c>
      <c r="M111">
        <v>142</v>
      </c>
      <c r="N111">
        <f>IF(B111=0, "", ((L111 - B111) / B111) * 100)</f>
        <v>250</v>
      </c>
      <c r="O111">
        <v>16297</v>
      </c>
      <c r="P111" s="9">
        <f>L111 / O111 * 100000</f>
        <v>128.85807203779837</v>
      </c>
    </row>
    <row r="112" spans="1:16">
      <c r="A112" t="s">
        <v>152</v>
      </c>
      <c r="B112">
        <v>9</v>
      </c>
      <c r="C112">
        <v>13</v>
      </c>
      <c r="D112">
        <v>10</v>
      </c>
      <c r="E112">
        <v>13</v>
      </c>
      <c r="F112">
        <v>12</v>
      </c>
      <c r="G112">
        <v>23</v>
      </c>
      <c r="H112">
        <v>21</v>
      </c>
      <c r="I112">
        <v>15</v>
      </c>
      <c r="J112">
        <v>43</v>
      </c>
      <c r="K112">
        <v>38</v>
      </c>
      <c r="L112">
        <v>34</v>
      </c>
      <c r="M112">
        <v>231</v>
      </c>
      <c r="N112">
        <f>IF(B112=0, "", ((L112 - B112) / B112) * 100)</f>
        <v>277.77777777777777</v>
      </c>
      <c r="O112">
        <v>27265</v>
      </c>
      <c r="P112" s="9">
        <f>L112 / O112 * 100000</f>
        <v>124.70199889968825</v>
      </c>
    </row>
    <row r="113" spans="1:16">
      <c r="A113" t="s">
        <v>141</v>
      </c>
      <c r="B113">
        <v>2</v>
      </c>
      <c r="C113">
        <v>4</v>
      </c>
      <c r="D113">
        <v>7</v>
      </c>
      <c r="E113">
        <v>6</v>
      </c>
      <c r="F113">
        <v>6</v>
      </c>
      <c r="G113">
        <v>3</v>
      </c>
      <c r="H113">
        <v>7</v>
      </c>
      <c r="I113">
        <v>11</v>
      </c>
      <c r="J113">
        <v>15</v>
      </c>
      <c r="K113">
        <v>17</v>
      </c>
      <c r="L113">
        <v>15</v>
      </c>
      <c r="M113">
        <v>93</v>
      </c>
      <c r="N113">
        <f>IF(B113=0, "", ((L113 - B113) / B113) * 100)</f>
        <v>650</v>
      </c>
      <c r="O113">
        <v>12391</v>
      </c>
      <c r="P113" s="9">
        <f>L113 / O113 * 100000</f>
        <v>121.05560487450568</v>
      </c>
    </row>
    <row r="114" spans="1:16">
      <c r="A114" t="s">
        <v>158</v>
      </c>
      <c r="B114">
        <v>21</v>
      </c>
      <c r="C114">
        <v>19</v>
      </c>
      <c r="D114">
        <v>22</v>
      </c>
      <c r="E114">
        <v>19</v>
      </c>
      <c r="F114">
        <v>21</v>
      </c>
      <c r="G114">
        <v>28</v>
      </c>
      <c r="H114">
        <v>20</v>
      </c>
      <c r="I114">
        <v>23</v>
      </c>
      <c r="J114">
        <v>62</v>
      </c>
      <c r="K114">
        <v>119</v>
      </c>
      <c r="L114">
        <v>44</v>
      </c>
      <c r="M114">
        <v>398</v>
      </c>
      <c r="N114">
        <f>IF(B114=0, "", ((L114 - B114) / B114) * 100)</f>
        <v>109.52380952380953</v>
      </c>
      <c r="O114">
        <v>37380</v>
      </c>
      <c r="P114" s="9">
        <f>L114 / O114 * 100000</f>
        <v>117.71000535045479</v>
      </c>
    </row>
    <row r="115" spans="1:16">
      <c r="A115" t="s">
        <v>119</v>
      </c>
      <c r="B115">
        <v>11</v>
      </c>
      <c r="C115">
        <v>15</v>
      </c>
      <c r="D115">
        <v>22</v>
      </c>
      <c r="E115">
        <v>19</v>
      </c>
      <c r="F115">
        <v>19</v>
      </c>
      <c r="G115">
        <v>23</v>
      </c>
      <c r="H115">
        <v>14</v>
      </c>
      <c r="I115">
        <v>20</v>
      </c>
      <c r="J115">
        <v>29</v>
      </c>
      <c r="K115">
        <v>28</v>
      </c>
      <c r="L115">
        <v>25</v>
      </c>
      <c r="M115">
        <v>225</v>
      </c>
      <c r="N115">
        <f>IF(B115=0, "", ((L115 - B115) / B115) * 100)</f>
        <v>127.27272727272727</v>
      </c>
      <c r="O115">
        <v>21268</v>
      </c>
      <c r="P115" s="9">
        <f>L115 / O115 * 100000</f>
        <v>117.54748918563098</v>
      </c>
    </row>
    <row r="116" spans="1:16">
      <c r="A116" t="s">
        <v>51</v>
      </c>
      <c r="B116">
        <v>26</v>
      </c>
      <c r="C116">
        <v>19</v>
      </c>
      <c r="D116">
        <v>16</v>
      </c>
      <c r="E116">
        <v>14</v>
      </c>
      <c r="F116">
        <v>48</v>
      </c>
      <c r="G116">
        <v>43</v>
      </c>
      <c r="H116">
        <v>25</v>
      </c>
      <c r="I116">
        <v>44</v>
      </c>
      <c r="J116">
        <v>44</v>
      </c>
      <c r="K116">
        <v>45</v>
      </c>
      <c r="L116">
        <v>45</v>
      </c>
      <c r="M116">
        <v>369</v>
      </c>
      <c r="N116">
        <f>IF(B116=0, "", ((L116 - B116) / B116) * 100)</f>
        <v>73.076923076923066</v>
      </c>
      <c r="O116">
        <v>38382</v>
      </c>
      <c r="P116" s="9">
        <f>L116 / O116 * 100000</f>
        <v>117.24245740190715</v>
      </c>
    </row>
    <row r="117" spans="1:16">
      <c r="A117" t="s">
        <v>70</v>
      </c>
      <c r="B117">
        <v>5</v>
      </c>
      <c r="C117">
        <v>13</v>
      </c>
      <c r="D117">
        <v>9</v>
      </c>
      <c r="E117">
        <v>12</v>
      </c>
      <c r="F117">
        <v>24</v>
      </c>
      <c r="G117">
        <v>20</v>
      </c>
      <c r="H117">
        <v>38</v>
      </c>
      <c r="I117">
        <v>75</v>
      </c>
      <c r="J117">
        <v>82</v>
      </c>
      <c r="K117">
        <v>95</v>
      </c>
      <c r="L117">
        <v>26</v>
      </c>
      <c r="M117">
        <v>399</v>
      </c>
      <c r="N117">
        <f>IF(B117=0, "", ((L117 - B117) / B117) * 100)</f>
        <v>420</v>
      </c>
      <c r="O117">
        <v>22253</v>
      </c>
      <c r="P117" s="9">
        <f>L117 / O117 * 100000</f>
        <v>116.83817912191614</v>
      </c>
    </row>
    <row r="118" spans="1:16">
      <c r="A118" t="s">
        <v>151</v>
      </c>
      <c r="B118">
        <v>9</v>
      </c>
      <c r="C118">
        <v>15</v>
      </c>
      <c r="D118">
        <v>13</v>
      </c>
      <c r="E118">
        <v>13</v>
      </c>
      <c r="F118">
        <v>11</v>
      </c>
      <c r="G118">
        <v>11</v>
      </c>
      <c r="H118">
        <v>24</v>
      </c>
      <c r="I118">
        <v>41</v>
      </c>
      <c r="J118">
        <v>34</v>
      </c>
      <c r="K118">
        <v>37</v>
      </c>
      <c r="L118">
        <v>29</v>
      </c>
      <c r="M118">
        <v>237</v>
      </c>
      <c r="N118">
        <f>IF(B118=0, "", ((L118 - B118) / B118) * 100)</f>
        <v>222.22222222222223</v>
      </c>
      <c r="O118">
        <v>25067</v>
      </c>
      <c r="P118" s="9">
        <f>L118 / O118 * 100000</f>
        <v>115.68995093150357</v>
      </c>
    </row>
    <row r="119" spans="1:16">
      <c r="A119" t="s">
        <v>64</v>
      </c>
      <c r="B119">
        <v>18</v>
      </c>
      <c r="C119">
        <v>15</v>
      </c>
      <c r="D119">
        <v>18</v>
      </c>
      <c r="E119">
        <v>13</v>
      </c>
      <c r="F119">
        <v>39</v>
      </c>
      <c r="G119">
        <v>21</v>
      </c>
      <c r="H119">
        <v>39</v>
      </c>
      <c r="I119">
        <v>28</v>
      </c>
      <c r="J119">
        <v>54</v>
      </c>
      <c r="K119">
        <v>37</v>
      </c>
      <c r="L119">
        <v>45</v>
      </c>
      <c r="M119">
        <v>327</v>
      </c>
      <c r="N119">
        <f>IF(B119=0, "", ((L119 - B119) / B119) * 100)</f>
        <v>150</v>
      </c>
      <c r="O119">
        <v>39464</v>
      </c>
      <c r="P119" s="9">
        <f>L119 / O119 * 100000</f>
        <v>114.02797486316643</v>
      </c>
    </row>
    <row r="120" spans="1:16">
      <c r="A120" t="s">
        <v>18</v>
      </c>
      <c r="B120">
        <v>12</v>
      </c>
      <c r="C120">
        <v>20</v>
      </c>
      <c r="D120">
        <v>20</v>
      </c>
      <c r="E120">
        <v>14</v>
      </c>
      <c r="F120">
        <v>27</v>
      </c>
      <c r="G120">
        <v>38</v>
      </c>
      <c r="H120">
        <v>14</v>
      </c>
      <c r="I120">
        <v>16</v>
      </c>
      <c r="J120">
        <v>29</v>
      </c>
      <c r="K120">
        <v>46</v>
      </c>
      <c r="L120">
        <v>37</v>
      </c>
      <c r="M120">
        <v>273</v>
      </c>
      <c r="N120">
        <f>IF(B120=0, "", ((L120 - B120) / B120) * 100)</f>
        <v>208.33333333333334</v>
      </c>
      <c r="O120">
        <v>33575</v>
      </c>
      <c r="P120" s="9">
        <f>L120 / O120 * 100000</f>
        <v>110.20104244229337</v>
      </c>
    </row>
    <row r="121" spans="1:16">
      <c r="A121" t="s">
        <v>53</v>
      </c>
      <c r="B121">
        <v>20</v>
      </c>
      <c r="C121">
        <v>11</v>
      </c>
      <c r="D121">
        <v>6</v>
      </c>
      <c r="E121">
        <v>16</v>
      </c>
      <c r="F121">
        <v>18</v>
      </c>
      <c r="G121">
        <v>19</v>
      </c>
      <c r="H121">
        <v>13</v>
      </c>
      <c r="I121">
        <v>31</v>
      </c>
      <c r="J121">
        <v>39</v>
      </c>
      <c r="K121">
        <v>43</v>
      </c>
      <c r="L121">
        <v>34</v>
      </c>
      <c r="M121">
        <v>250</v>
      </c>
      <c r="N121">
        <f>IF(B121=0, "", ((L121 - B121) / B121) * 100)</f>
        <v>70</v>
      </c>
      <c r="O121">
        <v>31118</v>
      </c>
      <c r="P121" s="9">
        <f>L121 / O121 * 100000</f>
        <v>109.26152066328171</v>
      </c>
    </row>
    <row r="122" spans="1:16">
      <c r="A122" t="s">
        <v>110</v>
      </c>
      <c r="B122">
        <v>6</v>
      </c>
      <c r="C122">
        <v>10</v>
      </c>
      <c r="D122">
        <v>12</v>
      </c>
      <c r="E122">
        <v>10</v>
      </c>
      <c r="F122">
        <v>14</v>
      </c>
      <c r="G122">
        <v>9</v>
      </c>
      <c r="H122">
        <v>16</v>
      </c>
      <c r="I122">
        <v>16</v>
      </c>
      <c r="J122">
        <v>51</v>
      </c>
      <c r="K122">
        <v>51</v>
      </c>
      <c r="L122">
        <v>41</v>
      </c>
      <c r="M122">
        <v>236</v>
      </c>
      <c r="N122">
        <f>IF(B122=0, "", ((L122 - B122) / B122) * 100)</f>
        <v>583.33333333333326</v>
      </c>
      <c r="O122">
        <v>37851</v>
      </c>
      <c r="P122" s="9">
        <f>L122 / O122 * 100000</f>
        <v>108.31946315817284</v>
      </c>
    </row>
    <row r="123" spans="1:16">
      <c r="A123" t="s">
        <v>117</v>
      </c>
      <c r="B123">
        <v>11</v>
      </c>
      <c r="C123">
        <v>12</v>
      </c>
      <c r="D123">
        <v>12</v>
      </c>
      <c r="E123">
        <v>18</v>
      </c>
      <c r="F123">
        <v>12</v>
      </c>
      <c r="G123">
        <v>11</v>
      </c>
      <c r="H123">
        <v>26</v>
      </c>
      <c r="I123">
        <v>7</v>
      </c>
      <c r="J123">
        <v>26</v>
      </c>
      <c r="K123">
        <v>23</v>
      </c>
      <c r="L123">
        <v>22</v>
      </c>
      <c r="M123">
        <v>180</v>
      </c>
      <c r="N123">
        <f>IF(B123=0, "", ((L123 - B123) / B123) * 100)</f>
        <v>100</v>
      </c>
      <c r="O123">
        <v>20529</v>
      </c>
      <c r="P123" s="9">
        <f>L123 / O123 * 100000</f>
        <v>107.16547323298749</v>
      </c>
    </row>
    <row r="124" spans="1:16">
      <c r="A124" t="s">
        <v>78</v>
      </c>
      <c r="B124">
        <v>16</v>
      </c>
      <c r="C124">
        <v>10</v>
      </c>
      <c r="D124">
        <v>8</v>
      </c>
      <c r="E124">
        <v>12</v>
      </c>
      <c r="F124">
        <v>11</v>
      </c>
      <c r="G124">
        <v>16</v>
      </c>
      <c r="H124">
        <v>12</v>
      </c>
      <c r="I124">
        <v>24</v>
      </c>
      <c r="J124">
        <v>38</v>
      </c>
      <c r="K124">
        <v>42</v>
      </c>
      <c r="L124">
        <v>35</v>
      </c>
      <c r="M124">
        <v>224</v>
      </c>
      <c r="N124">
        <f>IF(B124=0, "", ((L124 - B124) / B124) * 100)</f>
        <v>118.75</v>
      </c>
      <c r="O124">
        <v>34619</v>
      </c>
      <c r="P124" s="9">
        <f>L124 / O124 * 100000</f>
        <v>101.10055172015367</v>
      </c>
    </row>
    <row r="125" spans="1:16">
      <c r="A125" t="s">
        <v>113</v>
      </c>
      <c r="B125">
        <v>11</v>
      </c>
      <c r="C125">
        <v>14</v>
      </c>
      <c r="D125">
        <v>7</v>
      </c>
      <c r="E125">
        <v>9</v>
      </c>
      <c r="F125">
        <v>20</v>
      </c>
      <c r="G125">
        <v>27</v>
      </c>
      <c r="H125">
        <v>18</v>
      </c>
      <c r="I125">
        <v>20</v>
      </c>
      <c r="J125">
        <v>37</v>
      </c>
      <c r="K125">
        <v>42</v>
      </c>
      <c r="L125">
        <v>35</v>
      </c>
      <c r="M125">
        <v>240</v>
      </c>
      <c r="N125">
        <f>IF(B125=0, "", ((L125 - B125) / B125) * 100)</f>
        <v>218.18181818181816</v>
      </c>
      <c r="O125">
        <v>34823</v>
      </c>
      <c r="P125" s="9">
        <f>L125 / O125 * 100000</f>
        <v>100.50828475432904</v>
      </c>
    </row>
    <row r="126" spans="1:16">
      <c r="A126" t="s">
        <v>36</v>
      </c>
      <c r="B126">
        <v>2</v>
      </c>
      <c r="C126">
        <v>0</v>
      </c>
      <c r="D126">
        <v>4</v>
      </c>
      <c r="E126">
        <v>5</v>
      </c>
      <c r="F126">
        <v>2</v>
      </c>
      <c r="G126">
        <v>3</v>
      </c>
      <c r="H126">
        <v>11</v>
      </c>
      <c r="I126">
        <v>13</v>
      </c>
      <c r="J126">
        <v>9</v>
      </c>
      <c r="K126">
        <v>23</v>
      </c>
      <c r="L126">
        <v>17</v>
      </c>
      <c r="M126">
        <v>89</v>
      </c>
      <c r="N126">
        <f>IF(B126=0, "", ((L126 - B126) / B126) * 100)</f>
        <v>750</v>
      </c>
      <c r="O126">
        <v>17311</v>
      </c>
      <c r="P126" s="9">
        <f>L126 / O126 * 100000</f>
        <v>98.203454450927154</v>
      </c>
    </row>
    <row r="127" spans="1:16">
      <c r="A127" t="s">
        <v>101</v>
      </c>
      <c r="B127">
        <v>10</v>
      </c>
      <c r="C127">
        <v>8</v>
      </c>
      <c r="D127">
        <v>5</v>
      </c>
      <c r="E127">
        <v>9</v>
      </c>
      <c r="F127">
        <v>11</v>
      </c>
      <c r="G127">
        <v>20</v>
      </c>
      <c r="H127">
        <v>13</v>
      </c>
      <c r="I127">
        <v>13</v>
      </c>
      <c r="J127">
        <v>29</v>
      </c>
      <c r="K127">
        <v>27</v>
      </c>
      <c r="L127">
        <v>24</v>
      </c>
      <c r="M127">
        <v>169</v>
      </c>
      <c r="N127">
        <f>IF(B127=0, "", ((L127 - B127) / B127) * 100)</f>
        <v>140</v>
      </c>
      <c r="O127">
        <v>24990</v>
      </c>
      <c r="P127" s="9">
        <f>L127 / O127 * 100000</f>
        <v>96.038415366146467</v>
      </c>
    </row>
    <row r="128" spans="1:16">
      <c r="A128" t="s">
        <v>66</v>
      </c>
      <c r="B128">
        <v>11</v>
      </c>
      <c r="C128">
        <v>5</v>
      </c>
      <c r="D128">
        <v>17</v>
      </c>
      <c r="E128">
        <v>22</v>
      </c>
      <c r="F128">
        <v>21</v>
      </c>
      <c r="G128">
        <v>16</v>
      </c>
      <c r="H128">
        <v>26</v>
      </c>
      <c r="I128">
        <v>34</v>
      </c>
      <c r="J128">
        <v>56</v>
      </c>
      <c r="K128">
        <v>54</v>
      </c>
      <c r="L128">
        <v>32</v>
      </c>
      <c r="M128">
        <v>294</v>
      </c>
      <c r="N128">
        <f>IF(B128=0, "", ((L128 - B128) / B128) * 100)</f>
        <v>190.90909090909091</v>
      </c>
      <c r="O128">
        <v>33777</v>
      </c>
      <c r="P128" s="9">
        <f>L128 / O128 * 100000</f>
        <v>94.739023595938065</v>
      </c>
    </row>
    <row r="129" spans="1:16">
      <c r="A129" t="s">
        <v>129</v>
      </c>
      <c r="B129">
        <v>9</v>
      </c>
      <c r="C129">
        <v>14</v>
      </c>
      <c r="D129">
        <v>11</v>
      </c>
      <c r="E129">
        <v>13</v>
      </c>
      <c r="F129">
        <v>11</v>
      </c>
      <c r="G129">
        <v>23</v>
      </c>
      <c r="H129">
        <v>45</v>
      </c>
      <c r="I129">
        <v>32</v>
      </c>
      <c r="J129">
        <v>45</v>
      </c>
      <c r="K129">
        <v>62</v>
      </c>
      <c r="L129">
        <v>26</v>
      </c>
      <c r="M129">
        <v>291</v>
      </c>
      <c r="N129">
        <f>IF(B129=0, "", ((L129 - B129) / B129) * 100)</f>
        <v>188.88888888888889</v>
      </c>
      <c r="O129">
        <v>28448</v>
      </c>
      <c r="P129" s="9">
        <f>L129 / O129 * 100000</f>
        <v>91.39482564679416</v>
      </c>
    </row>
    <row r="130" spans="1:16">
      <c r="A130" t="s">
        <v>25</v>
      </c>
      <c r="B130">
        <v>7</v>
      </c>
      <c r="C130">
        <v>4</v>
      </c>
      <c r="D130">
        <v>4</v>
      </c>
      <c r="E130">
        <v>10</v>
      </c>
      <c r="F130">
        <v>19</v>
      </c>
      <c r="G130">
        <v>26</v>
      </c>
      <c r="H130">
        <v>18</v>
      </c>
      <c r="I130">
        <v>37</v>
      </c>
      <c r="J130">
        <v>42</v>
      </c>
      <c r="K130">
        <v>45</v>
      </c>
      <c r="L130">
        <v>31</v>
      </c>
      <c r="M130">
        <v>243</v>
      </c>
      <c r="N130">
        <f>IF(B130=0, "", ((L130 - B130) / B130) * 100)</f>
        <v>342.85714285714283</v>
      </c>
      <c r="O130">
        <v>33962</v>
      </c>
      <c r="P130" s="9">
        <f>L130 / O130 * 100000</f>
        <v>91.278487721571167</v>
      </c>
    </row>
    <row r="131" spans="1:16">
      <c r="A131" t="s">
        <v>102</v>
      </c>
      <c r="B131">
        <v>5</v>
      </c>
      <c r="C131">
        <v>9</v>
      </c>
      <c r="D131">
        <v>9</v>
      </c>
      <c r="E131">
        <v>6</v>
      </c>
      <c r="F131">
        <v>10</v>
      </c>
      <c r="G131">
        <v>10</v>
      </c>
      <c r="H131">
        <v>7</v>
      </c>
      <c r="I131">
        <v>8</v>
      </c>
      <c r="J131">
        <v>19</v>
      </c>
      <c r="K131">
        <v>33</v>
      </c>
      <c r="L131">
        <v>17</v>
      </c>
      <c r="M131">
        <v>133</v>
      </c>
      <c r="N131">
        <f>IF(B131=0, "", ((L131 - B131) / B131) * 100)</f>
        <v>240</v>
      </c>
      <c r="O131">
        <v>18873</v>
      </c>
      <c r="P131" s="9">
        <f>L131 / O131 * 100000</f>
        <v>90.075769617972767</v>
      </c>
    </row>
    <row r="132" spans="1:16">
      <c r="A132" t="s">
        <v>125</v>
      </c>
      <c r="B132">
        <v>5</v>
      </c>
      <c r="C132">
        <v>11</v>
      </c>
      <c r="D132">
        <v>11</v>
      </c>
      <c r="E132">
        <v>3</v>
      </c>
      <c r="F132">
        <v>9</v>
      </c>
      <c r="G132">
        <v>11</v>
      </c>
      <c r="H132">
        <v>15</v>
      </c>
      <c r="I132">
        <v>39</v>
      </c>
      <c r="J132">
        <v>60</v>
      </c>
      <c r="K132">
        <v>81</v>
      </c>
      <c r="L132">
        <v>33</v>
      </c>
      <c r="M132">
        <v>278</v>
      </c>
      <c r="N132">
        <f>IF(B132=0, "", ((L132 - B132) / B132) * 100)</f>
        <v>560</v>
      </c>
      <c r="O132">
        <v>37068</v>
      </c>
      <c r="P132" s="9">
        <f>L132 / O132 * 100000</f>
        <v>89.025574619617998</v>
      </c>
    </row>
    <row r="133" spans="1:16">
      <c r="A133" t="s">
        <v>114</v>
      </c>
      <c r="B133">
        <v>15</v>
      </c>
      <c r="C133">
        <v>15</v>
      </c>
      <c r="D133">
        <v>12</v>
      </c>
      <c r="E133">
        <v>14</v>
      </c>
      <c r="F133">
        <v>20</v>
      </c>
      <c r="G133">
        <v>25</v>
      </c>
      <c r="H133">
        <v>41</v>
      </c>
      <c r="I133">
        <v>24</v>
      </c>
      <c r="J133">
        <v>75</v>
      </c>
      <c r="K133">
        <v>54</v>
      </c>
      <c r="L133">
        <v>32</v>
      </c>
      <c r="M133">
        <v>327</v>
      </c>
      <c r="N133">
        <f>IF(B133=0, "", ((L133 - B133) / B133) * 100)</f>
        <v>113.33333333333333</v>
      </c>
      <c r="O133">
        <v>36276</v>
      </c>
      <c r="P133" s="9">
        <f>L133 / O133 * 100000</f>
        <v>88.212592347557617</v>
      </c>
    </row>
    <row r="134" spans="1:16">
      <c r="A134" t="s">
        <v>77</v>
      </c>
      <c r="B134">
        <v>5</v>
      </c>
      <c r="C134">
        <v>15</v>
      </c>
      <c r="D134">
        <v>19</v>
      </c>
      <c r="E134">
        <v>12</v>
      </c>
      <c r="F134">
        <v>21</v>
      </c>
      <c r="G134">
        <v>9</v>
      </c>
      <c r="H134">
        <v>26</v>
      </c>
      <c r="I134">
        <v>13</v>
      </c>
      <c r="J134">
        <v>34</v>
      </c>
      <c r="K134">
        <v>27</v>
      </c>
      <c r="L134">
        <v>32</v>
      </c>
      <c r="M134">
        <v>213</v>
      </c>
      <c r="N134">
        <f>IF(B134=0, "", ((L134 - B134) / B134) * 100)</f>
        <v>540</v>
      </c>
      <c r="O134">
        <v>37939</v>
      </c>
      <c r="P134" s="9">
        <f>L134 / O134 * 100000</f>
        <v>84.345923719655246</v>
      </c>
    </row>
    <row r="135" spans="1:16">
      <c r="A135" t="s">
        <v>154</v>
      </c>
      <c r="B135">
        <v>18</v>
      </c>
      <c r="C135">
        <v>16</v>
      </c>
      <c r="D135">
        <v>9</v>
      </c>
      <c r="E135">
        <v>22</v>
      </c>
      <c r="F135">
        <v>11</v>
      </c>
      <c r="G135">
        <v>30</v>
      </c>
      <c r="H135">
        <v>17</v>
      </c>
      <c r="I135">
        <v>36</v>
      </c>
      <c r="J135">
        <v>68</v>
      </c>
      <c r="K135">
        <v>90</v>
      </c>
      <c r="L135">
        <v>30</v>
      </c>
      <c r="M135">
        <v>347</v>
      </c>
      <c r="N135">
        <f>IF(B135=0, "", ((L135 - B135) / B135) * 100)</f>
        <v>66.666666666666657</v>
      </c>
      <c r="O135">
        <v>35599</v>
      </c>
      <c r="P135" s="9">
        <f>L135 / O135 * 100000</f>
        <v>84.272030113205417</v>
      </c>
    </row>
    <row r="136" spans="1:16">
      <c r="A136" t="s">
        <v>89</v>
      </c>
      <c r="B136">
        <v>10</v>
      </c>
      <c r="C136">
        <v>7</v>
      </c>
      <c r="D136">
        <v>9</v>
      </c>
      <c r="E136">
        <v>11</v>
      </c>
      <c r="F136">
        <v>12</v>
      </c>
      <c r="G136">
        <v>13</v>
      </c>
      <c r="H136">
        <v>15</v>
      </c>
      <c r="I136">
        <v>18</v>
      </c>
      <c r="J136">
        <v>21</v>
      </c>
      <c r="K136">
        <v>23</v>
      </c>
      <c r="L136">
        <v>32</v>
      </c>
      <c r="M136">
        <v>171</v>
      </c>
      <c r="N136">
        <f>IF(B136=0, "", ((L136 - B136) / B136) * 100)</f>
        <v>220.00000000000003</v>
      </c>
      <c r="O136">
        <v>38531</v>
      </c>
      <c r="P136" s="9">
        <f>L136 / O136 * 100000</f>
        <v>83.050011678907893</v>
      </c>
    </row>
    <row r="137" spans="1:16">
      <c r="A137" t="s">
        <v>69</v>
      </c>
      <c r="B137">
        <v>12</v>
      </c>
      <c r="C137">
        <v>15</v>
      </c>
      <c r="D137">
        <v>8</v>
      </c>
      <c r="E137">
        <v>12</v>
      </c>
      <c r="F137">
        <v>23</v>
      </c>
      <c r="G137">
        <v>27</v>
      </c>
      <c r="H137">
        <v>43</v>
      </c>
      <c r="I137">
        <v>37</v>
      </c>
      <c r="J137">
        <v>39</v>
      </c>
      <c r="K137">
        <v>55</v>
      </c>
      <c r="L137">
        <v>16</v>
      </c>
      <c r="M137">
        <v>287</v>
      </c>
      <c r="N137">
        <f>IF(B137=0, "", ((L137 - B137) / B137) * 100)</f>
        <v>33.333333333333329</v>
      </c>
      <c r="O137">
        <v>22555</v>
      </c>
      <c r="P137" s="9">
        <f>L137 / O137 * 100000</f>
        <v>70.937707825315897</v>
      </c>
    </row>
    <row r="138" spans="1:16">
      <c r="A138" t="s">
        <v>47</v>
      </c>
      <c r="B138">
        <v>5</v>
      </c>
      <c r="C138">
        <v>12</v>
      </c>
      <c r="D138">
        <v>7</v>
      </c>
      <c r="E138">
        <v>7</v>
      </c>
      <c r="F138">
        <v>3</v>
      </c>
      <c r="G138">
        <v>8</v>
      </c>
      <c r="H138">
        <v>6</v>
      </c>
      <c r="I138">
        <v>10</v>
      </c>
      <c r="J138">
        <v>11</v>
      </c>
      <c r="K138">
        <v>34</v>
      </c>
      <c r="L138">
        <v>25</v>
      </c>
      <c r="M138">
        <v>128</v>
      </c>
      <c r="N138">
        <f>IF(B138=0, "", ((L138 - B138) / B138) * 100)</f>
        <v>400</v>
      </c>
      <c r="O138">
        <v>36233</v>
      </c>
      <c r="P138" s="9">
        <f>L138 / O138 * 100000</f>
        <v>68.997874865454136</v>
      </c>
    </row>
    <row r="139" spans="1:16">
      <c r="A139" t="s">
        <v>112</v>
      </c>
      <c r="B139">
        <v>16</v>
      </c>
      <c r="C139">
        <v>12</v>
      </c>
      <c r="D139">
        <v>9</v>
      </c>
      <c r="E139">
        <v>20</v>
      </c>
      <c r="F139">
        <v>27</v>
      </c>
      <c r="G139">
        <v>31</v>
      </c>
      <c r="H139">
        <v>17</v>
      </c>
      <c r="I139">
        <v>22</v>
      </c>
      <c r="J139">
        <v>30</v>
      </c>
      <c r="K139">
        <v>43</v>
      </c>
      <c r="L139">
        <v>25</v>
      </c>
      <c r="M139">
        <v>252</v>
      </c>
      <c r="N139">
        <f>IF(B139=0, "", ((L139 - B139) / B139) * 100)</f>
        <v>56.25</v>
      </c>
      <c r="O139">
        <v>36253</v>
      </c>
      <c r="P139" s="9">
        <f>L139 / O139 * 100000</f>
        <v>68.959810222602272</v>
      </c>
    </row>
    <row r="140" spans="1:16">
      <c r="A140" t="s">
        <v>79</v>
      </c>
      <c r="B140">
        <v>23</v>
      </c>
      <c r="C140">
        <v>16</v>
      </c>
      <c r="D140">
        <v>16</v>
      </c>
      <c r="E140">
        <v>8</v>
      </c>
      <c r="F140">
        <v>14</v>
      </c>
      <c r="G140">
        <v>13</v>
      </c>
      <c r="H140">
        <v>19</v>
      </c>
      <c r="I140">
        <v>16</v>
      </c>
      <c r="J140">
        <v>29</v>
      </c>
      <c r="K140">
        <v>23</v>
      </c>
      <c r="L140">
        <v>23</v>
      </c>
      <c r="M140">
        <v>200</v>
      </c>
      <c r="N140">
        <f>IF(B140=0, "", ((L140 - B140) / B140) * 100)</f>
        <v>0</v>
      </c>
      <c r="O140">
        <v>33870</v>
      </c>
      <c r="P140" s="9">
        <f>L140 / O140 * 100000</f>
        <v>67.90670209625037</v>
      </c>
    </row>
    <row r="141" spans="1:16">
      <c r="A141" t="s">
        <v>81</v>
      </c>
      <c r="B141">
        <v>21</v>
      </c>
      <c r="C141">
        <v>15</v>
      </c>
      <c r="D141">
        <v>11</v>
      </c>
      <c r="E141">
        <v>11</v>
      </c>
      <c r="F141">
        <v>15</v>
      </c>
      <c r="G141">
        <v>9</v>
      </c>
      <c r="H141">
        <v>21</v>
      </c>
      <c r="I141">
        <v>20</v>
      </c>
      <c r="J141">
        <v>23</v>
      </c>
      <c r="K141">
        <v>23</v>
      </c>
      <c r="L141">
        <v>25</v>
      </c>
      <c r="M141">
        <v>194</v>
      </c>
      <c r="N141">
        <f>IF(B141=0, "", ((L141 - B141) / B141) * 100)</f>
        <v>19.047619047619047</v>
      </c>
      <c r="O141">
        <v>38054</v>
      </c>
      <c r="P141" s="9">
        <f>L141 / O141 * 100000</f>
        <v>65.696116045619391</v>
      </c>
    </row>
    <row r="142" spans="1:16">
      <c r="A142" t="s">
        <v>118</v>
      </c>
      <c r="B142">
        <v>9</v>
      </c>
      <c r="C142">
        <v>8</v>
      </c>
      <c r="D142">
        <v>7</v>
      </c>
      <c r="E142">
        <v>9</v>
      </c>
      <c r="F142">
        <v>14</v>
      </c>
      <c r="G142">
        <v>3</v>
      </c>
      <c r="H142">
        <v>16</v>
      </c>
      <c r="I142">
        <v>20</v>
      </c>
      <c r="J142">
        <v>10</v>
      </c>
      <c r="K142">
        <v>18</v>
      </c>
      <c r="L142">
        <v>19</v>
      </c>
      <c r="M142">
        <v>133</v>
      </c>
      <c r="N142">
        <f>IF(B142=0, "", ((L142 - B142) / B142) * 100)</f>
        <v>111.11111111111111</v>
      </c>
      <c r="O142">
        <v>29262</v>
      </c>
      <c r="P142" s="9">
        <f>L142 / O142 * 100000</f>
        <v>64.930626751418231</v>
      </c>
    </row>
    <row r="143" spans="1:16">
      <c r="A143" t="s">
        <v>148</v>
      </c>
      <c r="B143">
        <v>16</v>
      </c>
      <c r="C143">
        <v>7</v>
      </c>
      <c r="D143">
        <v>18</v>
      </c>
      <c r="E143">
        <v>21</v>
      </c>
      <c r="F143">
        <v>7</v>
      </c>
      <c r="G143">
        <v>21</v>
      </c>
      <c r="H143">
        <v>16</v>
      </c>
      <c r="I143">
        <v>27</v>
      </c>
      <c r="J143">
        <v>14</v>
      </c>
      <c r="K143">
        <v>35</v>
      </c>
      <c r="L143">
        <v>20</v>
      </c>
      <c r="M143">
        <v>202</v>
      </c>
      <c r="N143">
        <f>IF(B143=0, "", ((L143 - B143) / B143) * 100)</f>
        <v>25</v>
      </c>
      <c r="O143">
        <v>31483</v>
      </c>
      <c r="P143" s="9">
        <f>L143 / O143 * 100000</f>
        <v>63.526347552647458</v>
      </c>
    </row>
    <row r="144" spans="1:16">
      <c r="A144" t="s">
        <v>23</v>
      </c>
      <c r="B144">
        <v>9</v>
      </c>
      <c r="C144">
        <v>4</v>
      </c>
      <c r="D144">
        <v>5</v>
      </c>
      <c r="E144">
        <v>1</v>
      </c>
      <c r="F144">
        <v>8</v>
      </c>
      <c r="G144">
        <v>13</v>
      </c>
      <c r="H144">
        <v>32</v>
      </c>
      <c r="I144">
        <v>30</v>
      </c>
      <c r="J144">
        <v>19</v>
      </c>
      <c r="K144">
        <v>25</v>
      </c>
      <c r="L144">
        <v>17</v>
      </c>
      <c r="M144">
        <v>163</v>
      </c>
      <c r="N144">
        <f>IF(B144=0, "", ((L144 - B144) / B144) * 100)</f>
        <v>88.888888888888886</v>
      </c>
      <c r="O144">
        <v>28850</v>
      </c>
      <c r="P144" s="9">
        <f>L144 / O144 * 100000</f>
        <v>58.925476603119584</v>
      </c>
    </row>
    <row r="145" spans="1:16">
      <c r="A145" t="s">
        <v>115</v>
      </c>
      <c r="B145">
        <v>16</v>
      </c>
      <c r="C145">
        <v>7</v>
      </c>
      <c r="D145">
        <v>12</v>
      </c>
      <c r="E145">
        <v>21</v>
      </c>
      <c r="F145">
        <v>24</v>
      </c>
      <c r="G145">
        <v>15</v>
      </c>
      <c r="H145">
        <v>16</v>
      </c>
      <c r="I145">
        <v>18</v>
      </c>
      <c r="J145">
        <v>23</v>
      </c>
      <c r="K145">
        <v>27</v>
      </c>
      <c r="L145">
        <v>20</v>
      </c>
      <c r="M145">
        <v>199</v>
      </c>
      <c r="N145">
        <f>IF(B145=0, "", ((L145 - B145) / B145) * 100)</f>
        <v>25</v>
      </c>
      <c r="O145">
        <v>35247</v>
      </c>
      <c r="P145" s="9">
        <f>L145 / O145 * 100000</f>
        <v>56.742417794422217</v>
      </c>
    </row>
    <row r="146" spans="1:16">
      <c r="A146" t="s">
        <v>74</v>
      </c>
      <c r="B146">
        <v>2</v>
      </c>
      <c r="C146">
        <v>3</v>
      </c>
      <c r="D146">
        <v>7</v>
      </c>
      <c r="E146">
        <v>2</v>
      </c>
      <c r="F146">
        <v>6</v>
      </c>
      <c r="G146">
        <v>6</v>
      </c>
      <c r="H146">
        <v>9</v>
      </c>
      <c r="I146">
        <v>13</v>
      </c>
      <c r="J146">
        <v>32</v>
      </c>
      <c r="K146">
        <v>40</v>
      </c>
      <c r="L146">
        <v>20</v>
      </c>
      <c r="M146">
        <v>140</v>
      </c>
      <c r="N146">
        <f>IF(B146=0, "", ((L146 - B146) / B146) * 100)</f>
        <v>900</v>
      </c>
      <c r="O146">
        <v>35897</v>
      </c>
      <c r="P146" s="9">
        <f>L146 / O146 * 100000</f>
        <v>55.714962253113079</v>
      </c>
    </row>
    <row r="147" spans="1:16">
      <c r="A147" t="s">
        <v>108</v>
      </c>
      <c r="B147">
        <v>12</v>
      </c>
      <c r="C147">
        <v>9</v>
      </c>
      <c r="D147">
        <v>6</v>
      </c>
      <c r="E147">
        <v>5</v>
      </c>
      <c r="F147">
        <v>11</v>
      </c>
      <c r="G147">
        <v>11</v>
      </c>
      <c r="H147">
        <v>14</v>
      </c>
      <c r="I147">
        <v>20</v>
      </c>
      <c r="J147">
        <v>15</v>
      </c>
      <c r="K147">
        <v>28</v>
      </c>
      <c r="L147">
        <v>13</v>
      </c>
      <c r="M147">
        <v>144</v>
      </c>
      <c r="N147">
        <f>IF(B147=0, "", ((L147 - B147) / B147) * 100)</f>
        <v>8.3333333333333321</v>
      </c>
      <c r="O147">
        <v>23534</v>
      </c>
      <c r="P147" s="9">
        <f>L147 / O147 * 100000</f>
        <v>55.239228350471663</v>
      </c>
    </row>
    <row r="148" spans="1:16">
      <c r="A148" t="s">
        <v>97</v>
      </c>
      <c r="B148">
        <v>9</v>
      </c>
      <c r="C148">
        <v>14</v>
      </c>
      <c r="D148">
        <v>3</v>
      </c>
      <c r="E148">
        <v>10</v>
      </c>
      <c r="F148">
        <v>10</v>
      </c>
      <c r="G148">
        <v>24</v>
      </c>
      <c r="H148">
        <v>11</v>
      </c>
      <c r="I148">
        <v>9</v>
      </c>
      <c r="J148">
        <v>11</v>
      </c>
      <c r="K148">
        <v>14</v>
      </c>
      <c r="L148">
        <v>14</v>
      </c>
      <c r="M148">
        <v>129</v>
      </c>
      <c r="N148">
        <f>IF(B148=0, "", ((L148 - B148) / B148) * 100)</f>
        <v>55.555555555555557</v>
      </c>
      <c r="O148">
        <v>25417</v>
      </c>
      <c r="P148" s="9">
        <f>L148 / O148 * 100000</f>
        <v>55.081244836133301</v>
      </c>
    </row>
    <row r="149" spans="1:16">
      <c r="A149" t="s">
        <v>109</v>
      </c>
      <c r="B149">
        <v>2</v>
      </c>
      <c r="C149">
        <v>6</v>
      </c>
      <c r="D149">
        <v>2</v>
      </c>
      <c r="E149">
        <v>1</v>
      </c>
      <c r="F149">
        <v>2</v>
      </c>
      <c r="G149">
        <v>7</v>
      </c>
      <c r="H149">
        <v>4</v>
      </c>
      <c r="I149">
        <v>9</v>
      </c>
      <c r="J149">
        <v>22</v>
      </c>
      <c r="K149">
        <v>16</v>
      </c>
      <c r="L149">
        <v>10</v>
      </c>
      <c r="M149">
        <v>81</v>
      </c>
      <c r="N149">
        <f>IF(B149=0, "", ((L149 - B149) / B149) * 100)</f>
        <v>400</v>
      </c>
      <c r="O149">
        <v>19629</v>
      </c>
      <c r="P149" s="9">
        <f>L149 / O149 * 100000</f>
        <v>50.945030312293035</v>
      </c>
    </row>
    <row r="150" spans="1:16">
      <c r="A150" t="s">
        <v>95</v>
      </c>
      <c r="B150">
        <v>23</v>
      </c>
      <c r="C150">
        <v>10</v>
      </c>
      <c r="D150">
        <v>17</v>
      </c>
      <c r="E150">
        <v>14</v>
      </c>
      <c r="F150">
        <v>10</v>
      </c>
      <c r="G150">
        <v>20</v>
      </c>
      <c r="H150">
        <v>28</v>
      </c>
      <c r="I150">
        <v>20</v>
      </c>
      <c r="J150">
        <v>15</v>
      </c>
      <c r="K150">
        <v>10</v>
      </c>
      <c r="L150">
        <v>12</v>
      </c>
      <c r="M150">
        <v>179</v>
      </c>
      <c r="N150">
        <f>IF(B150=0, "", ((L150 - B150) / B150) * 100)</f>
        <v>-47.826086956521742</v>
      </c>
      <c r="O150">
        <v>23653</v>
      </c>
      <c r="P150" s="9">
        <f>L150 / O150 * 100000</f>
        <v>50.733522174776979</v>
      </c>
    </row>
    <row r="151" spans="1:16">
      <c r="A151" t="s">
        <v>14</v>
      </c>
      <c r="B151">
        <v>2</v>
      </c>
      <c r="C151">
        <v>4</v>
      </c>
      <c r="D151">
        <v>3</v>
      </c>
      <c r="E151">
        <v>8</v>
      </c>
      <c r="F151">
        <v>15</v>
      </c>
      <c r="G151">
        <v>8</v>
      </c>
      <c r="H151">
        <v>14</v>
      </c>
      <c r="I151">
        <v>15</v>
      </c>
      <c r="J151">
        <v>10</v>
      </c>
      <c r="K151">
        <v>20</v>
      </c>
      <c r="L151">
        <v>16</v>
      </c>
      <c r="M151">
        <v>115</v>
      </c>
      <c r="N151">
        <f>IF(B151=0, "", ((L151 - B151) / B151) * 100)</f>
        <v>700</v>
      </c>
      <c r="O151">
        <v>35654</v>
      </c>
      <c r="P151" s="9">
        <f>L151 / O151 * 100000</f>
        <v>44.875750266449771</v>
      </c>
    </row>
    <row r="152" spans="1:16">
      <c r="A152" t="s">
        <v>98</v>
      </c>
      <c r="B152">
        <v>8</v>
      </c>
      <c r="C152">
        <v>7</v>
      </c>
      <c r="D152">
        <v>10</v>
      </c>
      <c r="E152">
        <v>6</v>
      </c>
      <c r="F152">
        <v>18</v>
      </c>
      <c r="G152">
        <v>23</v>
      </c>
      <c r="H152">
        <v>15</v>
      </c>
      <c r="I152">
        <v>5</v>
      </c>
      <c r="J152">
        <v>18</v>
      </c>
      <c r="K152">
        <v>19</v>
      </c>
      <c r="L152">
        <v>14</v>
      </c>
      <c r="M152">
        <v>143</v>
      </c>
      <c r="N152">
        <f>IF(B152=0, "", ((L152 - B152) / B152) * 100)</f>
        <v>75</v>
      </c>
      <c r="O152">
        <v>32227</v>
      </c>
      <c r="P152" s="9">
        <f>L152 / O152 * 100000</f>
        <v>43.441834486610603</v>
      </c>
    </row>
    <row r="153" spans="1:16">
      <c r="A153" t="s">
        <v>92</v>
      </c>
      <c r="B153">
        <v>15</v>
      </c>
      <c r="C153">
        <v>15</v>
      </c>
      <c r="D153">
        <v>17</v>
      </c>
      <c r="E153">
        <v>15</v>
      </c>
      <c r="F153">
        <v>21</v>
      </c>
      <c r="G153">
        <v>15</v>
      </c>
      <c r="H153">
        <v>15</v>
      </c>
      <c r="I153">
        <v>10</v>
      </c>
      <c r="J153">
        <v>27</v>
      </c>
      <c r="K153">
        <v>13</v>
      </c>
      <c r="L153">
        <v>15</v>
      </c>
      <c r="M153">
        <v>178</v>
      </c>
      <c r="N153">
        <f>IF(B153=0, "", ((L153 - B153) / B153) * 100)</f>
        <v>0</v>
      </c>
      <c r="O153">
        <v>35939</v>
      </c>
      <c r="P153" s="9">
        <f>L153 / O153 * 100000</f>
        <v>41.737388352486157</v>
      </c>
    </row>
    <row r="154" spans="1:16">
      <c r="A154" t="s">
        <v>93</v>
      </c>
      <c r="B154">
        <v>11</v>
      </c>
      <c r="C154">
        <v>11</v>
      </c>
      <c r="D154">
        <v>13</v>
      </c>
      <c r="E154">
        <v>7</v>
      </c>
      <c r="F154">
        <v>12</v>
      </c>
      <c r="G154">
        <v>13</v>
      </c>
      <c r="H154">
        <v>6</v>
      </c>
      <c r="I154">
        <v>9</v>
      </c>
      <c r="J154">
        <v>13</v>
      </c>
      <c r="K154">
        <v>9</v>
      </c>
      <c r="L154">
        <v>13</v>
      </c>
      <c r="M154">
        <v>117</v>
      </c>
      <c r="N154">
        <f>IF(B154=0, "", ((L154 - B154) / B154) * 100)</f>
        <v>18.181818181818183</v>
      </c>
      <c r="O154">
        <v>31457</v>
      </c>
      <c r="P154" s="9">
        <f>L154 / O154 * 100000</f>
        <v>41.32625488762438</v>
      </c>
    </row>
    <row r="155" spans="1:16">
      <c r="A155" t="s">
        <v>57</v>
      </c>
      <c r="B155">
        <v>11</v>
      </c>
      <c r="C155">
        <v>6</v>
      </c>
      <c r="D155">
        <v>5</v>
      </c>
      <c r="E155">
        <v>6</v>
      </c>
      <c r="F155">
        <v>5</v>
      </c>
      <c r="G155">
        <v>12</v>
      </c>
      <c r="H155">
        <v>12</v>
      </c>
      <c r="I155">
        <v>11</v>
      </c>
      <c r="J155">
        <v>22</v>
      </c>
      <c r="K155">
        <v>14</v>
      </c>
      <c r="L155">
        <v>13</v>
      </c>
      <c r="M155">
        <v>117</v>
      </c>
      <c r="N155">
        <f>IF(B155=0, "", ((L155 - B155) / B155) * 100)</f>
        <v>18.181818181818183</v>
      </c>
      <c r="O155">
        <v>36118</v>
      </c>
      <c r="P155" s="9">
        <f>L155 / O155 * 100000</f>
        <v>35.9931336175868</v>
      </c>
    </row>
    <row r="156" spans="1:16">
      <c r="A156" t="s">
        <v>19</v>
      </c>
      <c r="B156">
        <v>6</v>
      </c>
      <c r="C156">
        <v>4</v>
      </c>
      <c r="D156">
        <v>6</v>
      </c>
      <c r="E156">
        <v>7</v>
      </c>
      <c r="F156">
        <v>15</v>
      </c>
      <c r="G156">
        <v>13</v>
      </c>
      <c r="H156">
        <v>9</v>
      </c>
      <c r="I156">
        <v>23</v>
      </c>
      <c r="J156">
        <v>14</v>
      </c>
      <c r="K156">
        <v>16</v>
      </c>
      <c r="L156">
        <v>8</v>
      </c>
      <c r="M156">
        <v>121</v>
      </c>
      <c r="N156">
        <f>IF(B156=0, "", ((L156 - B156) / B156) * 100)</f>
        <v>33.333333333333329</v>
      </c>
      <c r="O156">
        <v>23964</v>
      </c>
      <c r="P156" s="9">
        <f>L156 / O156 * 100000</f>
        <v>33.383408446002335</v>
      </c>
    </row>
    <row r="157" spans="1:16">
      <c r="A157" t="s">
        <v>15</v>
      </c>
      <c r="B157">
        <v>7</v>
      </c>
      <c r="C157">
        <v>1</v>
      </c>
      <c r="D157">
        <v>2</v>
      </c>
      <c r="E157">
        <v>2</v>
      </c>
      <c r="F157">
        <v>4</v>
      </c>
      <c r="G157">
        <v>4</v>
      </c>
      <c r="H157">
        <v>12</v>
      </c>
      <c r="I157">
        <v>14</v>
      </c>
      <c r="J157">
        <v>10</v>
      </c>
      <c r="K157">
        <v>18</v>
      </c>
      <c r="L157">
        <v>9</v>
      </c>
      <c r="M157">
        <v>83</v>
      </c>
      <c r="N157">
        <f>IF(B157=0, "", ((L157 - B157) / B157) * 100)</f>
        <v>28.571428571428569</v>
      </c>
      <c r="O157">
        <v>27795</v>
      </c>
      <c r="P157" s="9">
        <f>L157 / O157 * 100000</f>
        <v>32.379924446842956</v>
      </c>
    </row>
    <row r="158" spans="1:16">
      <c r="A158" t="s">
        <v>87</v>
      </c>
      <c r="B158">
        <v>7</v>
      </c>
      <c r="C158">
        <v>6</v>
      </c>
      <c r="D158">
        <v>1</v>
      </c>
      <c r="E158">
        <v>9</v>
      </c>
      <c r="F158">
        <v>16</v>
      </c>
      <c r="G158">
        <v>10</v>
      </c>
      <c r="H158">
        <v>11</v>
      </c>
      <c r="I158">
        <v>11</v>
      </c>
      <c r="J158">
        <v>24</v>
      </c>
      <c r="K158">
        <v>22</v>
      </c>
      <c r="L158">
        <v>8</v>
      </c>
      <c r="M158">
        <v>125</v>
      </c>
      <c r="N158">
        <f>IF(B158=0, "", ((L158 - B158) / B158) * 100)</f>
        <v>14.285714285714285</v>
      </c>
      <c r="O158">
        <v>26541</v>
      </c>
      <c r="P158" s="9">
        <f>L158 / O158 * 100000</f>
        <v>30.142044384160354</v>
      </c>
    </row>
    <row r="159" spans="1:16">
      <c r="A159" t="s">
        <v>100</v>
      </c>
      <c r="B159">
        <v>4</v>
      </c>
      <c r="C159">
        <v>3</v>
      </c>
      <c r="D159">
        <v>5</v>
      </c>
      <c r="E159">
        <v>6</v>
      </c>
      <c r="F159">
        <v>10</v>
      </c>
      <c r="G159">
        <v>8</v>
      </c>
      <c r="H159">
        <v>7</v>
      </c>
      <c r="I159">
        <v>5</v>
      </c>
      <c r="J159">
        <v>9</v>
      </c>
      <c r="K159">
        <v>6</v>
      </c>
      <c r="L159">
        <v>5</v>
      </c>
      <c r="M159">
        <v>68</v>
      </c>
      <c r="N159">
        <f>IF(B159=0, "", ((L159 - B159) / B159) * 100)</f>
        <v>25</v>
      </c>
      <c r="O159">
        <v>21692</v>
      </c>
      <c r="P159" s="9">
        <f>L159 / O159 * 100000</f>
        <v>23.04997234003319</v>
      </c>
    </row>
  </sheetData>
  <autoFilter ref="A1:N159" xr:uid="{00000000-0001-0000-0000-000000000000}">
    <sortState xmlns:xlrd2="http://schemas.microsoft.com/office/spreadsheetml/2017/richdata2" ref="A2:N159">
      <sortCondition ref="A1:A159"/>
    </sortState>
  </autoFilter>
  <sortState xmlns:xlrd2="http://schemas.microsoft.com/office/spreadsheetml/2017/richdata2" ref="A2:P159">
    <sortCondition descending="1" ref="P1:P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Citywide Trends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Prgya Kapur</cp:lastModifiedBy>
  <dcterms:created xsi:type="dcterms:W3CDTF">2025-04-04T05:38:26Z</dcterms:created>
  <dcterms:modified xsi:type="dcterms:W3CDTF">2025-04-13T07:07:13Z</dcterms:modified>
</cp:coreProperties>
</file>